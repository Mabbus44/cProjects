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eloperArea\PrivateRepos\cProjects\Project euler\Euler66\"/>
    </mc:Choice>
  </mc:AlternateContent>
  <xr:revisionPtr revIDLastSave="0" documentId="13_ncr:1_{5F6107BB-03B7-4E36-8B04-A7AF44B4965D}" xr6:coauthVersionLast="47" xr6:coauthVersionMax="47" xr10:uidLastSave="{00000000-0000-0000-0000-000000000000}"/>
  <bookViews>
    <workbookView xWindow="-93" yWindow="-93" windowWidth="25786" windowHeight="13866" xr2:uid="{FFF81B3A-8282-47DB-A667-445C54387296}"/>
  </bookViews>
  <sheets>
    <sheet name="Sollutions to D" sheetId="6" r:id="rId1"/>
    <sheet name="Sollutions to D incorrect" sheetId="4" r:id="rId2"/>
    <sheet name="Sheet1" sheetId="1" r:id="rId3"/>
    <sheet name="Sheet2" sheetId="2" r:id="rId4"/>
    <sheet name="Sheet3" sheetId="3" r:id="rId5"/>
  </sheets>
  <definedNames>
    <definedName name="_xlnm._FilterDatabase" localSheetId="0" hidden="1">'Sollutions to D'!$A$1:$N$169</definedName>
    <definedName name="_xlnm._FilterDatabase" localSheetId="1" hidden="1">'Sollutions to D incorrect'!$A$1:$B$171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6" l="1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M18" i="6"/>
  <c r="L19" i="6"/>
  <c r="M19" i="6"/>
  <c r="L20" i="6"/>
  <c r="M20" i="6"/>
  <c r="L21" i="6"/>
  <c r="M21" i="6"/>
  <c r="L22" i="6"/>
  <c r="M22" i="6"/>
  <c r="L23" i="6"/>
  <c r="L24" i="6"/>
  <c r="M24" i="6"/>
  <c r="L25" i="6"/>
  <c r="M25" i="6"/>
  <c r="L26" i="6"/>
  <c r="M26" i="6"/>
  <c r="L27" i="6"/>
  <c r="L28" i="6"/>
  <c r="M28" i="6"/>
  <c r="L29" i="6"/>
  <c r="M29" i="6"/>
  <c r="L30" i="6"/>
  <c r="M30" i="6"/>
  <c r="L31" i="6"/>
  <c r="M31" i="6"/>
  <c r="L32" i="6"/>
  <c r="M32" i="6"/>
  <c r="L33" i="6"/>
  <c r="M33" i="6"/>
  <c r="L34" i="6"/>
  <c r="M34" i="6"/>
  <c r="L35" i="6"/>
  <c r="M35" i="6"/>
  <c r="L36" i="6"/>
  <c r="M36" i="6"/>
  <c r="L37" i="6"/>
  <c r="M37" i="6"/>
  <c r="L38" i="6"/>
  <c r="M38" i="6"/>
  <c r="L39" i="6"/>
  <c r="M39" i="6"/>
  <c r="L40" i="6"/>
  <c r="M40" i="6"/>
  <c r="L41" i="6"/>
  <c r="M41" i="6"/>
  <c r="L42" i="6"/>
  <c r="M42" i="6"/>
  <c r="L43" i="6"/>
  <c r="M43" i="6"/>
  <c r="L44" i="6"/>
  <c r="M44" i="6"/>
  <c r="L45" i="6"/>
  <c r="M46" i="6"/>
  <c r="L47" i="6"/>
  <c r="M47" i="6"/>
  <c r="L48" i="6"/>
  <c r="M48" i="6"/>
  <c r="M49" i="6"/>
  <c r="L50" i="6"/>
  <c r="M50" i="6"/>
  <c r="L51" i="6"/>
  <c r="M51" i="6"/>
  <c r="L52" i="6"/>
  <c r="M52" i="6"/>
  <c r="L53" i="6"/>
  <c r="M53" i="6"/>
  <c r="L54" i="6"/>
  <c r="M54" i="6"/>
  <c r="M55" i="6"/>
  <c r="L56" i="6"/>
  <c r="M56" i="6"/>
  <c r="L57" i="6"/>
  <c r="M57" i="6"/>
  <c r="L58" i="6"/>
  <c r="M58" i="6"/>
  <c r="L59" i="6"/>
  <c r="M59" i="6"/>
  <c r="L60" i="6"/>
  <c r="M60" i="6"/>
  <c r="L61" i="6"/>
  <c r="M61" i="6"/>
  <c r="L62" i="6"/>
  <c r="M62" i="6"/>
  <c r="L63" i="6"/>
  <c r="L64" i="6"/>
  <c r="L65" i="6"/>
  <c r="M65" i="6"/>
  <c r="L66" i="6"/>
  <c r="M66" i="6"/>
  <c r="M67" i="6"/>
  <c r="L68" i="6"/>
  <c r="M69" i="6"/>
  <c r="M70" i="6"/>
  <c r="L71" i="6"/>
  <c r="M71" i="6"/>
  <c r="L72" i="6"/>
  <c r="M72" i="6"/>
  <c r="L73" i="6"/>
  <c r="M73" i="6"/>
  <c r="L74" i="6"/>
  <c r="M74" i="6"/>
  <c r="L75" i="6"/>
  <c r="M75" i="6"/>
  <c r="L76" i="6"/>
  <c r="M76" i="6"/>
  <c r="M77" i="6"/>
  <c r="L78" i="6"/>
  <c r="M78" i="6"/>
  <c r="M79" i="6"/>
  <c r="L80" i="6"/>
  <c r="L81" i="6"/>
  <c r="M81" i="6"/>
  <c r="L82" i="6"/>
  <c r="M82" i="6"/>
  <c r="L83" i="6"/>
  <c r="M83" i="6"/>
  <c r="L84" i="6"/>
  <c r="M84" i="6"/>
  <c r="L85" i="6"/>
  <c r="M85" i="6"/>
  <c r="L86" i="6"/>
  <c r="M86" i="6"/>
  <c r="L87" i="6"/>
  <c r="M87" i="6"/>
  <c r="M89" i="6"/>
  <c r="L90" i="6"/>
  <c r="M90" i="6"/>
  <c r="L91" i="6"/>
  <c r="M92" i="6"/>
  <c r="L93" i="6"/>
  <c r="M93" i="6"/>
  <c r="L94" i="6"/>
  <c r="M94" i="6"/>
  <c r="L95" i="6"/>
  <c r="M95" i="6"/>
  <c r="L96" i="6"/>
  <c r="L97" i="6"/>
  <c r="M98" i="6"/>
  <c r="L99" i="6"/>
  <c r="M99" i="6"/>
  <c r="M100" i="6"/>
  <c r="M101" i="6"/>
  <c r="M102" i="6"/>
  <c r="L103" i="6"/>
  <c r="M103" i="6"/>
  <c r="L104" i="6"/>
  <c r="M104" i="6"/>
  <c r="M105" i="6"/>
  <c r="L106" i="6"/>
  <c r="M106" i="6"/>
  <c r="L107" i="6"/>
  <c r="M107" i="6"/>
  <c r="M108" i="6"/>
  <c r="N108" i="6" s="1"/>
  <c r="L109" i="6"/>
  <c r="M109" i="6"/>
  <c r="L111" i="6"/>
  <c r="M111" i="6"/>
  <c r="M112" i="6"/>
  <c r="L113" i="6"/>
  <c r="M113" i="6"/>
  <c r="L114" i="6"/>
  <c r="M114" i="6"/>
  <c r="L115" i="6"/>
  <c r="L116" i="6"/>
  <c r="L117" i="6"/>
  <c r="M117" i="6"/>
  <c r="M118" i="6"/>
  <c r="M119" i="6"/>
  <c r="M120" i="6"/>
  <c r="L121" i="6"/>
  <c r="M121" i="6"/>
  <c r="M122" i="6"/>
  <c r="M124" i="6"/>
  <c r="L125" i="6"/>
  <c r="M125" i="6"/>
  <c r="M126" i="6"/>
  <c r="M127" i="6"/>
  <c r="M128" i="6"/>
  <c r="M129" i="6"/>
  <c r="N130" i="6"/>
  <c r="L2" i="6"/>
  <c r="M2" i="6"/>
  <c r="D2" i="6"/>
  <c r="F2" i="6" s="1"/>
  <c r="E2" i="6"/>
  <c r="G2" i="6" s="1"/>
  <c r="D3" i="6"/>
  <c r="F3" i="6" s="1"/>
  <c r="E3" i="6"/>
  <c r="G3" i="6" s="1"/>
  <c r="D5" i="6"/>
  <c r="F5" i="6" s="1"/>
  <c r="E5" i="6"/>
  <c r="G5" i="6" s="1"/>
  <c r="D4" i="6"/>
  <c r="F4" i="6" s="1"/>
  <c r="E4" i="6"/>
  <c r="G4" i="6" s="1"/>
  <c r="C4" i="6" s="1"/>
  <c r="D6" i="6"/>
  <c r="F6" i="6" s="1"/>
  <c r="E6" i="6"/>
  <c r="G6" i="6" s="1"/>
  <c r="D24" i="6"/>
  <c r="F24" i="6" s="1"/>
  <c r="E24" i="6"/>
  <c r="G24" i="6" s="1"/>
  <c r="D8" i="6"/>
  <c r="F8" i="6" s="1"/>
  <c r="E8" i="6"/>
  <c r="G8" i="6" s="1"/>
  <c r="C8" i="6" s="1"/>
  <c r="D14" i="6"/>
  <c r="F14" i="6" s="1"/>
  <c r="E14" i="6"/>
  <c r="G14" i="6" s="1"/>
  <c r="C14" i="6" s="1"/>
  <c r="D7" i="6"/>
  <c r="F7" i="6" s="1"/>
  <c r="E7" i="6"/>
  <c r="G7" i="6" s="1"/>
  <c r="H7" i="6" s="1"/>
  <c r="I7" i="6" s="1"/>
  <c r="D37" i="6"/>
  <c r="F37" i="6" s="1"/>
  <c r="E37" i="6"/>
  <c r="G37" i="6" s="1"/>
  <c r="C37" i="6" s="1"/>
  <c r="D31" i="6"/>
  <c r="F31" i="6" s="1"/>
  <c r="E31" i="6"/>
  <c r="G31" i="6" s="1"/>
  <c r="C31" i="6" s="1"/>
  <c r="D10" i="6"/>
  <c r="F10" i="6" s="1"/>
  <c r="E10" i="6"/>
  <c r="G10" i="6" s="1"/>
  <c r="C10" i="6" s="1"/>
  <c r="D32" i="6"/>
  <c r="F32" i="6" s="1"/>
  <c r="E32" i="6"/>
  <c r="G32" i="6" s="1"/>
  <c r="C32" i="6" s="1"/>
  <c r="D34" i="6"/>
  <c r="F34" i="6" s="1"/>
  <c r="E34" i="6"/>
  <c r="G34" i="6" s="1"/>
  <c r="C34" i="6" s="1"/>
  <c r="D9" i="6"/>
  <c r="F9" i="6" s="1"/>
  <c r="E9" i="6"/>
  <c r="G9" i="6" s="1"/>
  <c r="H9" i="6" s="1"/>
  <c r="I9" i="6" s="1"/>
  <c r="D44" i="6"/>
  <c r="F44" i="6" s="1"/>
  <c r="E44" i="6"/>
  <c r="G44" i="6" s="1"/>
  <c r="H44" i="6" s="1"/>
  <c r="I44" i="6" s="1"/>
  <c r="D23" i="6"/>
  <c r="F23" i="6" s="1"/>
  <c r="E23" i="6"/>
  <c r="G23" i="6" s="1"/>
  <c r="D86" i="6"/>
  <c r="F86" i="6" s="1"/>
  <c r="E86" i="6"/>
  <c r="G86" i="6" s="1"/>
  <c r="D43" i="6"/>
  <c r="F43" i="6" s="1"/>
  <c r="E43" i="6"/>
  <c r="G43" i="6" s="1"/>
  <c r="H43" i="6" s="1"/>
  <c r="I43" i="6" s="1"/>
  <c r="D33" i="6"/>
  <c r="F33" i="6" s="1"/>
  <c r="E33" i="6"/>
  <c r="G33" i="6" s="1"/>
  <c r="C33" i="6" s="1"/>
  <c r="D58" i="6"/>
  <c r="F58" i="6" s="1"/>
  <c r="E58" i="6"/>
  <c r="G58" i="6" s="1"/>
  <c r="C58" i="6" s="1"/>
  <c r="D11" i="6"/>
  <c r="F11" i="6" s="1"/>
  <c r="E11" i="6"/>
  <c r="G11" i="6" s="1"/>
  <c r="D12" i="6"/>
  <c r="F12" i="6" s="1"/>
  <c r="E12" i="6"/>
  <c r="G12" i="6" s="1"/>
  <c r="C12" i="6" s="1"/>
  <c r="D50" i="6"/>
  <c r="F50" i="6" s="1"/>
  <c r="E50" i="6"/>
  <c r="G50" i="6" s="1"/>
  <c r="C50" i="6" s="1"/>
  <c r="D72" i="6"/>
  <c r="F72" i="6" s="1"/>
  <c r="E72" i="6"/>
  <c r="G72" i="6" s="1"/>
  <c r="D15" i="6"/>
  <c r="F15" i="6" s="1"/>
  <c r="E15" i="6"/>
  <c r="G15" i="6" s="1"/>
  <c r="C15" i="6" s="1"/>
  <c r="D47" i="6"/>
  <c r="F47" i="6" s="1"/>
  <c r="E47" i="6"/>
  <c r="G47" i="6" s="1"/>
  <c r="C47" i="6" s="1"/>
  <c r="D28" i="6"/>
  <c r="F28" i="6" s="1"/>
  <c r="E28" i="6"/>
  <c r="G28" i="6" s="1"/>
  <c r="C28" i="6" s="1"/>
  <c r="D114" i="6"/>
  <c r="F114" i="6" s="1"/>
  <c r="E114" i="6"/>
  <c r="G114" i="6" s="1"/>
  <c r="C114" i="6" s="1"/>
  <c r="D54" i="6"/>
  <c r="F54" i="6" s="1"/>
  <c r="E54" i="6"/>
  <c r="G54" i="6" s="1"/>
  <c r="C54" i="6" s="1"/>
  <c r="D64" i="6"/>
  <c r="F64" i="6" s="1"/>
  <c r="E64" i="6"/>
  <c r="G64" i="6" s="1"/>
  <c r="H64" i="6" s="1"/>
  <c r="I64" i="6" s="1"/>
  <c r="D38" i="6"/>
  <c r="F38" i="6" s="1"/>
  <c r="E38" i="6"/>
  <c r="G38" i="6" s="1"/>
  <c r="D66" i="6"/>
  <c r="F66" i="6" s="1"/>
  <c r="E66" i="6"/>
  <c r="G66" i="6" s="1"/>
  <c r="D74" i="6"/>
  <c r="F74" i="6" s="1"/>
  <c r="E74" i="6"/>
  <c r="G74" i="6" s="1"/>
  <c r="C74" i="6" s="1"/>
  <c r="D93" i="6"/>
  <c r="F93" i="6" s="1"/>
  <c r="E93" i="6"/>
  <c r="G93" i="6" s="1"/>
  <c r="H93" i="6" s="1"/>
  <c r="I93" i="6" s="1"/>
  <c r="D85" i="6"/>
  <c r="F85" i="6" s="1"/>
  <c r="E85" i="6"/>
  <c r="G85" i="6" s="1"/>
  <c r="D111" i="6"/>
  <c r="F111" i="6" s="1"/>
  <c r="E111" i="6"/>
  <c r="G111" i="6" s="1"/>
  <c r="D73" i="6"/>
  <c r="F73" i="6" s="1"/>
  <c r="E73" i="6"/>
  <c r="G73" i="6" s="1"/>
  <c r="H73" i="6" s="1"/>
  <c r="I73" i="6" s="1"/>
  <c r="D13" i="6"/>
  <c r="F13" i="6" s="1"/>
  <c r="E13" i="6"/>
  <c r="G13" i="6" s="1"/>
  <c r="C13" i="6" s="1"/>
  <c r="D59" i="6"/>
  <c r="F59" i="6" s="1"/>
  <c r="E59" i="6"/>
  <c r="G59" i="6" s="1"/>
  <c r="C59" i="6" s="1"/>
  <c r="D63" i="6"/>
  <c r="F63" i="6" s="1"/>
  <c r="E63" i="6"/>
  <c r="G63" i="6" s="1"/>
  <c r="D134" i="6"/>
  <c r="F134" i="6" s="1"/>
  <c r="E134" i="6"/>
  <c r="G134" i="6" s="1"/>
  <c r="C134" i="6" s="1"/>
  <c r="D68" i="6"/>
  <c r="F68" i="6" s="1"/>
  <c r="E68" i="6"/>
  <c r="G68" i="6" s="1"/>
  <c r="C68" i="6" s="1"/>
  <c r="D108" i="6"/>
  <c r="F108" i="6" s="1"/>
  <c r="E108" i="6"/>
  <c r="G108" i="6" s="1"/>
  <c r="C108" i="6" s="1"/>
  <c r="D19" i="6"/>
  <c r="F19" i="6" s="1"/>
  <c r="E19" i="6"/>
  <c r="G19" i="6" s="1"/>
  <c r="C19" i="6" s="1"/>
  <c r="D90" i="6"/>
  <c r="F90" i="6" s="1"/>
  <c r="E90" i="6"/>
  <c r="G90" i="6" s="1"/>
  <c r="C90" i="6" s="1"/>
  <c r="D101" i="6"/>
  <c r="F101" i="6" s="1"/>
  <c r="E101" i="6"/>
  <c r="G101" i="6" s="1"/>
  <c r="D16" i="6"/>
  <c r="F16" i="6" s="1"/>
  <c r="E16" i="6"/>
  <c r="G16" i="6" s="1"/>
  <c r="D17" i="6"/>
  <c r="F17" i="6" s="1"/>
  <c r="E17" i="6"/>
  <c r="G17" i="6" s="1"/>
  <c r="H17" i="6" s="1"/>
  <c r="I17" i="6" s="1"/>
  <c r="D65" i="6"/>
  <c r="F65" i="6" s="1"/>
  <c r="E65" i="6"/>
  <c r="G65" i="6" s="1"/>
  <c r="C65" i="6" s="1"/>
  <c r="D84" i="6"/>
  <c r="F84" i="6" s="1"/>
  <c r="E84" i="6"/>
  <c r="G84" i="6" s="1"/>
  <c r="C84" i="6" s="1"/>
  <c r="D67" i="6"/>
  <c r="F67" i="6" s="1"/>
  <c r="E67" i="6"/>
  <c r="G67" i="6" s="1"/>
  <c r="D124" i="6"/>
  <c r="F124" i="6" s="1"/>
  <c r="E124" i="6"/>
  <c r="G124" i="6" s="1"/>
  <c r="D62" i="6"/>
  <c r="F62" i="6" s="1"/>
  <c r="E62" i="6"/>
  <c r="G62" i="6" s="1"/>
  <c r="D22" i="6"/>
  <c r="F22" i="6" s="1"/>
  <c r="E22" i="6"/>
  <c r="G22" i="6" s="1"/>
  <c r="C22" i="6" s="1"/>
  <c r="D46" i="6"/>
  <c r="F46" i="6" s="1"/>
  <c r="E46" i="6"/>
  <c r="G46" i="6" s="1"/>
  <c r="C46" i="6" s="1"/>
  <c r="D39" i="6"/>
  <c r="F39" i="6" s="1"/>
  <c r="E39" i="6"/>
  <c r="G39" i="6" s="1"/>
  <c r="H39" i="6" s="1"/>
  <c r="I39" i="6" s="1"/>
  <c r="D97" i="6"/>
  <c r="F97" i="6" s="1"/>
  <c r="E97" i="6"/>
  <c r="G97" i="6" s="1"/>
  <c r="C97" i="6" s="1"/>
  <c r="D105" i="6"/>
  <c r="F105" i="6" s="1"/>
  <c r="E105" i="6"/>
  <c r="G105" i="6" s="1"/>
  <c r="C105" i="6" s="1"/>
  <c r="D77" i="6"/>
  <c r="F77" i="6" s="1"/>
  <c r="E77" i="6"/>
  <c r="G77" i="6" s="1"/>
  <c r="C77" i="6" s="1"/>
  <c r="D69" i="6"/>
  <c r="F69" i="6" s="1"/>
  <c r="E69" i="6"/>
  <c r="G69" i="6" s="1"/>
  <c r="C69" i="6" s="1"/>
  <c r="D75" i="6"/>
  <c r="F75" i="6" s="1"/>
  <c r="E75" i="6"/>
  <c r="G75" i="6" s="1"/>
  <c r="C75" i="6" s="1"/>
  <c r="D70" i="6"/>
  <c r="F70" i="6" s="1"/>
  <c r="E70" i="6"/>
  <c r="G70" i="6" s="1"/>
  <c r="D126" i="6"/>
  <c r="F126" i="6" s="1"/>
  <c r="E126" i="6"/>
  <c r="G126" i="6" s="1"/>
  <c r="H126" i="6" s="1"/>
  <c r="I126" i="6" s="1"/>
  <c r="D100" i="6"/>
  <c r="F100" i="6" s="1"/>
  <c r="E100" i="6"/>
  <c r="G100" i="6" s="1"/>
  <c r="D122" i="6"/>
  <c r="F122" i="6" s="1"/>
  <c r="E122" i="6"/>
  <c r="G122" i="6" s="1"/>
  <c r="D133" i="6"/>
  <c r="F133" i="6" s="1"/>
  <c r="E133" i="6"/>
  <c r="G133" i="6" s="1"/>
  <c r="C133" i="6" s="1"/>
  <c r="D51" i="6"/>
  <c r="F51" i="6" s="1"/>
  <c r="E51" i="6"/>
  <c r="G51" i="6" s="1"/>
  <c r="D79" i="6"/>
  <c r="F79" i="6" s="1"/>
  <c r="E79" i="6"/>
  <c r="G79" i="6" s="1"/>
  <c r="D87" i="6"/>
  <c r="F87" i="6" s="1"/>
  <c r="E87" i="6"/>
  <c r="G87" i="6" s="1"/>
  <c r="H87" i="6" s="1"/>
  <c r="I87" i="6" s="1"/>
  <c r="D18" i="6"/>
  <c r="F18" i="6" s="1"/>
  <c r="E18" i="6"/>
  <c r="G18" i="6" s="1"/>
  <c r="C18" i="6" s="1"/>
  <c r="D92" i="6"/>
  <c r="F92" i="6" s="1"/>
  <c r="E92" i="6"/>
  <c r="G92" i="6" s="1"/>
  <c r="C92" i="6" s="1"/>
  <c r="D71" i="6"/>
  <c r="F71" i="6" s="1"/>
  <c r="E71" i="6"/>
  <c r="G71" i="6" s="1"/>
  <c r="H71" i="6" s="1"/>
  <c r="I71" i="6" s="1"/>
  <c r="D125" i="6"/>
  <c r="F125" i="6" s="1"/>
  <c r="E125" i="6"/>
  <c r="G125" i="6" s="1"/>
  <c r="C125" i="6" s="1"/>
  <c r="D40" i="6"/>
  <c r="F40" i="6" s="1"/>
  <c r="E40" i="6"/>
  <c r="G40" i="6" s="1"/>
  <c r="C40" i="6" s="1"/>
  <c r="D61" i="6"/>
  <c r="F61" i="6" s="1"/>
  <c r="E61" i="6"/>
  <c r="G61" i="6" s="1"/>
  <c r="C61" i="6" s="1"/>
  <c r="D26" i="6"/>
  <c r="F26" i="6" s="1"/>
  <c r="E26" i="6"/>
  <c r="G26" i="6" s="1"/>
  <c r="C26" i="6" s="1"/>
  <c r="D82" i="6"/>
  <c r="F82" i="6" s="1"/>
  <c r="E82" i="6"/>
  <c r="G82" i="6" s="1"/>
  <c r="D78" i="6"/>
  <c r="F78" i="6" s="1"/>
  <c r="E78" i="6"/>
  <c r="G78" i="6" s="1"/>
  <c r="H78" i="6" s="1"/>
  <c r="I78" i="6" s="1"/>
  <c r="D20" i="6"/>
  <c r="F20" i="6" s="1"/>
  <c r="E20" i="6"/>
  <c r="G20" i="6" s="1"/>
  <c r="C20" i="6" s="1"/>
  <c r="D21" i="6"/>
  <c r="F21" i="6" s="1"/>
  <c r="E21" i="6"/>
  <c r="G21" i="6" s="1"/>
  <c r="D128" i="6"/>
  <c r="F128" i="6" s="1"/>
  <c r="E128" i="6"/>
  <c r="G128" i="6" s="1"/>
  <c r="D120" i="6"/>
  <c r="F120" i="6" s="1"/>
  <c r="E120" i="6"/>
  <c r="G120" i="6" s="1"/>
  <c r="H120" i="6" s="1"/>
  <c r="I120" i="6" s="1"/>
  <c r="D116" i="6"/>
  <c r="F116" i="6" s="1"/>
  <c r="E116" i="6"/>
  <c r="G116" i="6" s="1"/>
  <c r="H116" i="6" s="1"/>
  <c r="I116" i="6" s="1"/>
  <c r="D56" i="6"/>
  <c r="F56" i="6" s="1"/>
  <c r="E56" i="6"/>
  <c r="G56" i="6" s="1"/>
  <c r="H56" i="6" s="1"/>
  <c r="I56" i="6" s="1"/>
  <c r="D60" i="6"/>
  <c r="F60" i="6" s="1"/>
  <c r="E60" i="6"/>
  <c r="G60" i="6" s="1"/>
  <c r="D112" i="6"/>
  <c r="F112" i="6" s="1"/>
  <c r="E112" i="6"/>
  <c r="G112" i="6" s="1"/>
  <c r="C112" i="6" s="1"/>
  <c r="D96" i="6"/>
  <c r="F96" i="6" s="1"/>
  <c r="E96" i="6"/>
  <c r="G96" i="6" s="1"/>
  <c r="C96" i="6" s="1"/>
  <c r="D35" i="6"/>
  <c r="F35" i="6" s="1"/>
  <c r="E35" i="6"/>
  <c r="G35" i="6" s="1"/>
  <c r="D41" i="6"/>
  <c r="F41" i="6" s="1"/>
  <c r="E41" i="6"/>
  <c r="G41" i="6" s="1"/>
  <c r="C41" i="6" s="1"/>
  <c r="D129" i="6"/>
  <c r="F129" i="6" s="1"/>
  <c r="E129" i="6"/>
  <c r="G129" i="6" s="1"/>
  <c r="C129" i="6" s="1"/>
  <c r="D127" i="6"/>
  <c r="F127" i="6" s="1"/>
  <c r="E127" i="6"/>
  <c r="G127" i="6" s="1"/>
  <c r="C127" i="6" s="1"/>
  <c r="D95" i="6"/>
  <c r="F95" i="6" s="1"/>
  <c r="E95" i="6"/>
  <c r="G95" i="6" s="1"/>
  <c r="C95" i="6" s="1"/>
  <c r="D115" i="6"/>
  <c r="F115" i="6" s="1"/>
  <c r="E115" i="6"/>
  <c r="G115" i="6" s="1"/>
  <c r="C115" i="6" s="1"/>
  <c r="D42" i="6"/>
  <c r="F42" i="6" s="1"/>
  <c r="E42" i="6"/>
  <c r="G42" i="6" s="1"/>
  <c r="D45" i="6"/>
  <c r="F45" i="6" s="1"/>
  <c r="E45" i="6"/>
  <c r="G45" i="6" s="1"/>
  <c r="D138" i="6"/>
  <c r="F138" i="6" s="1"/>
  <c r="E138" i="6"/>
  <c r="G138" i="6" s="1"/>
  <c r="D29" i="6"/>
  <c r="F29" i="6" s="1"/>
  <c r="E29" i="6"/>
  <c r="G29" i="6" s="1"/>
  <c r="H29" i="6" s="1"/>
  <c r="I29" i="6" s="1"/>
  <c r="D57" i="6"/>
  <c r="F57" i="6" s="1"/>
  <c r="E57" i="6"/>
  <c r="G57" i="6" s="1"/>
  <c r="H57" i="6" s="1"/>
  <c r="I57" i="6" s="1"/>
  <c r="D103" i="6"/>
  <c r="F103" i="6" s="1"/>
  <c r="E103" i="6"/>
  <c r="G103" i="6" s="1"/>
  <c r="D110" i="6"/>
  <c r="F110" i="6" s="1"/>
  <c r="E110" i="6"/>
  <c r="G110" i="6" s="1"/>
  <c r="D99" i="6"/>
  <c r="F99" i="6" s="1"/>
  <c r="E99" i="6"/>
  <c r="G99" i="6" s="1"/>
  <c r="H99" i="6" s="1"/>
  <c r="I99" i="6" s="1"/>
  <c r="D123" i="6"/>
  <c r="F123" i="6" s="1"/>
  <c r="E123" i="6"/>
  <c r="G123" i="6" s="1"/>
  <c r="C123" i="6" s="1"/>
  <c r="D130" i="6"/>
  <c r="F130" i="6" s="1"/>
  <c r="E130" i="6"/>
  <c r="G130" i="6" s="1"/>
  <c r="C130" i="6" s="1"/>
  <c r="D104" i="6"/>
  <c r="F104" i="6" s="1"/>
  <c r="E104" i="6"/>
  <c r="G104" i="6" s="1"/>
  <c r="C104" i="6" s="1"/>
  <c r="D76" i="6"/>
  <c r="F76" i="6" s="1"/>
  <c r="E76" i="6"/>
  <c r="G76" i="6" s="1"/>
  <c r="C76" i="6" s="1"/>
  <c r="D136" i="6"/>
  <c r="F136" i="6" s="1"/>
  <c r="E136" i="6"/>
  <c r="G136" i="6" s="1"/>
  <c r="C136" i="6" s="1"/>
  <c r="D36" i="6"/>
  <c r="F36" i="6" s="1"/>
  <c r="E36" i="6"/>
  <c r="G36" i="6" s="1"/>
  <c r="C36" i="6" s="1"/>
  <c r="D30" i="6"/>
  <c r="F30" i="6" s="1"/>
  <c r="E30" i="6"/>
  <c r="G30" i="6" s="1"/>
  <c r="C30" i="6" s="1"/>
  <c r="D80" i="6"/>
  <c r="F80" i="6" s="1"/>
  <c r="E80" i="6"/>
  <c r="G80" i="6" s="1"/>
  <c r="C80" i="6" s="1"/>
  <c r="D83" i="6"/>
  <c r="F83" i="6" s="1"/>
  <c r="E83" i="6"/>
  <c r="G83" i="6" s="1"/>
  <c r="D119" i="6"/>
  <c r="F119" i="6" s="1"/>
  <c r="E119" i="6"/>
  <c r="G119" i="6" s="1"/>
  <c r="D102" i="6"/>
  <c r="F102" i="6" s="1"/>
  <c r="E102" i="6"/>
  <c r="G102" i="6" s="1"/>
  <c r="H102" i="6" s="1"/>
  <c r="I102" i="6" s="1"/>
  <c r="D25" i="6"/>
  <c r="F25" i="6" s="1"/>
  <c r="E25" i="6"/>
  <c r="G25" i="6" s="1"/>
  <c r="D81" i="6"/>
  <c r="F81" i="6" s="1"/>
  <c r="E81" i="6"/>
  <c r="G81" i="6" s="1"/>
  <c r="D52" i="6"/>
  <c r="F52" i="6" s="1"/>
  <c r="E52" i="6"/>
  <c r="G52" i="6" s="1"/>
  <c r="D107" i="6"/>
  <c r="F107" i="6" s="1"/>
  <c r="E107" i="6"/>
  <c r="G107" i="6" s="1"/>
  <c r="D55" i="6"/>
  <c r="F55" i="6" s="1"/>
  <c r="E55" i="6"/>
  <c r="G55" i="6" s="1"/>
  <c r="D106" i="6"/>
  <c r="F106" i="6" s="1"/>
  <c r="E106" i="6"/>
  <c r="G106" i="6" s="1"/>
  <c r="C106" i="6" s="1"/>
  <c r="D94" i="6"/>
  <c r="F94" i="6" s="1"/>
  <c r="E94" i="6"/>
  <c r="G94" i="6" s="1"/>
  <c r="C94" i="6" s="1"/>
  <c r="D121" i="6"/>
  <c r="F121" i="6" s="1"/>
  <c r="E121" i="6"/>
  <c r="G121" i="6" s="1"/>
  <c r="H121" i="6" s="1"/>
  <c r="I121" i="6" s="1"/>
  <c r="D132" i="6"/>
  <c r="F132" i="6" s="1"/>
  <c r="E132" i="6"/>
  <c r="G132" i="6" s="1"/>
  <c r="C132" i="6" s="1"/>
  <c r="D53" i="6"/>
  <c r="F53" i="6" s="1"/>
  <c r="E53" i="6"/>
  <c r="G53" i="6" s="1"/>
  <c r="C53" i="6" s="1"/>
  <c r="D118" i="6"/>
  <c r="F118" i="6" s="1"/>
  <c r="E118" i="6"/>
  <c r="G118" i="6" s="1"/>
  <c r="C118" i="6" s="1"/>
  <c r="D27" i="6"/>
  <c r="F27" i="6" s="1"/>
  <c r="E27" i="6"/>
  <c r="G27" i="6" s="1"/>
  <c r="C27" i="6" s="1"/>
  <c r="D113" i="6"/>
  <c r="F113" i="6" s="1"/>
  <c r="E113" i="6"/>
  <c r="G113" i="6" s="1"/>
  <c r="D91" i="6"/>
  <c r="F91" i="6" s="1"/>
  <c r="E91" i="6"/>
  <c r="G91" i="6" s="1"/>
  <c r="D98" i="6"/>
  <c r="F98" i="6" s="1"/>
  <c r="E98" i="6"/>
  <c r="G98" i="6" s="1"/>
  <c r="H98" i="6" s="1"/>
  <c r="I98" i="6" s="1"/>
  <c r="D49" i="6"/>
  <c r="F49" i="6" s="1"/>
  <c r="E49" i="6"/>
  <c r="G49" i="6" s="1"/>
  <c r="D117" i="6"/>
  <c r="F117" i="6" s="1"/>
  <c r="E117" i="6"/>
  <c r="G117" i="6" s="1"/>
  <c r="D131" i="6"/>
  <c r="F131" i="6" s="1"/>
  <c r="E131" i="6"/>
  <c r="G131" i="6" s="1"/>
  <c r="D88" i="6"/>
  <c r="F88" i="6" s="1"/>
  <c r="E88" i="6"/>
  <c r="G88" i="6" s="1"/>
  <c r="C88" i="6" s="1"/>
  <c r="D137" i="6"/>
  <c r="F137" i="6" s="1"/>
  <c r="E137" i="6"/>
  <c r="G137" i="6" s="1"/>
  <c r="D135" i="6"/>
  <c r="F135" i="6" s="1"/>
  <c r="E135" i="6"/>
  <c r="G135" i="6" s="1"/>
  <c r="C135" i="6" s="1"/>
  <c r="D109" i="6"/>
  <c r="F109" i="6" s="1"/>
  <c r="E109" i="6"/>
  <c r="G109" i="6" s="1"/>
  <c r="C109" i="6" s="1"/>
  <c r="D48" i="6"/>
  <c r="F48" i="6" s="1"/>
  <c r="E48" i="6"/>
  <c r="G48" i="6" s="1"/>
  <c r="C48" i="6" s="1"/>
  <c r="D89" i="6"/>
  <c r="F89" i="6" s="1"/>
  <c r="E89" i="6"/>
  <c r="G89" i="6" s="1"/>
  <c r="C89" i="6" s="1"/>
  <c r="D139" i="6"/>
  <c r="F139" i="6" s="1"/>
  <c r="E139" i="6"/>
  <c r="G139" i="6" s="1"/>
  <c r="C139" i="6" s="1"/>
  <c r="D140" i="6"/>
  <c r="F140" i="6" s="1"/>
  <c r="E140" i="6"/>
  <c r="G140" i="6" s="1"/>
  <c r="C140" i="6" s="1"/>
  <c r="D141" i="6"/>
  <c r="F141" i="6" s="1"/>
  <c r="E141" i="6"/>
  <c r="G141" i="6" s="1"/>
  <c r="C141" i="6" s="1"/>
  <c r="D142" i="6"/>
  <c r="F142" i="6" s="1"/>
  <c r="E142" i="6"/>
  <c r="G142" i="6" s="1"/>
  <c r="C142" i="6" s="1"/>
  <c r="D143" i="6"/>
  <c r="F143" i="6" s="1"/>
  <c r="E143" i="6"/>
  <c r="G143" i="6" s="1"/>
  <c r="D144" i="6"/>
  <c r="F144" i="6" s="1"/>
  <c r="E144" i="6"/>
  <c r="G144" i="6" s="1"/>
  <c r="C144" i="6" s="1"/>
  <c r="D145" i="6"/>
  <c r="F145" i="6" s="1"/>
  <c r="E145" i="6"/>
  <c r="G145" i="6" s="1"/>
  <c r="H145" i="6" s="1"/>
  <c r="I145" i="6" s="1"/>
  <c r="D146" i="6"/>
  <c r="F146" i="6" s="1"/>
  <c r="E146" i="6"/>
  <c r="G146" i="6" s="1"/>
  <c r="D147" i="6"/>
  <c r="F147" i="6" s="1"/>
  <c r="E147" i="6"/>
  <c r="G147" i="6" s="1"/>
  <c r="D148" i="6"/>
  <c r="F148" i="6" s="1"/>
  <c r="E148" i="6"/>
  <c r="G148" i="6" s="1"/>
  <c r="H148" i="6" s="1"/>
  <c r="I148" i="6" s="1"/>
  <c r="D149" i="6"/>
  <c r="F149" i="6" s="1"/>
  <c r="E149" i="6"/>
  <c r="G149" i="6" s="1"/>
  <c r="D150" i="6"/>
  <c r="F150" i="6" s="1"/>
  <c r="E150" i="6"/>
  <c r="G150" i="6" s="1"/>
  <c r="C150" i="6" s="1"/>
  <c r="D151" i="6"/>
  <c r="F151" i="6" s="1"/>
  <c r="E151" i="6"/>
  <c r="G151" i="6" s="1"/>
  <c r="D152" i="6"/>
  <c r="F152" i="6" s="1"/>
  <c r="E152" i="6"/>
  <c r="G152" i="6" s="1"/>
  <c r="C152" i="6" s="1"/>
  <c r="D153" i="6"/>
  <c r="F153" i="6" s="1"/>
  <c r="E153" i="6"/>
  <c r="G153" i="6" s="1"/>
  <c r="C153" i="6" s="1"/>
  <c r="D154" i="6"/>
  <c r="F154" i="6" s="1"/>
  <c r="E154" i="6"/>
  <c r="G154" i="6" s="1"/>
  <c r="D155" i="6"/>
  <c r="F155" i="6" s="1"/>
  <c r="E155" i="6"/>
  <c r="G155" i="6" s="1"/>
  <c r="C155" i="6" s="1"/>
  <c r="D156" i="6"/>
  <c r="F156" i="6" s="1"/>
  <c r="E156" i="6"/>
  <c r="G156" i="6" s="1"/>
  <c r="C156" i="6" s="1"/>
  <c r="D157" i="6"/>
  <c r="F157" i="6" s="1"/>
  <c r="E157" i="6"/>
  <c r="G157" i="6" s="1"/>
  <c r="C157" i="6" s="1"/>
  <c r="D158" i="6"/>
  <c r="F158" i="6" s="1"/>
  <c r="E158" i="6"/>
  <c r="G158" i="6" s="1"/>
  <c r="C158" i="6" s="1"/>
  <c r="D159" i="6"/>
  <c r="F159" i="6" s="1"/>
  <c r="E159" i="6"/>
  <c r="G159" i="6" s="1"/>
  <c r="C159" i="6" s="1"/>
  <c r="D160" i="6"/>
  <c r="F160" i="6" s="1"/>
  <c r="E160" i="6"/>
  <c r="G160" i="6" s="1"/>
  <c r="H160" i="6" s="1"/>
  <c r="I160" i="6" s="1"/>
  <c r="D161" i="6"/>
  <c r="F161" i="6" s="1"/>
  <c r="E161" i="6"/>
  <c r="G161" i="6" s="1"/>
  <c r="C161" i="6" s="1"/>
  <c r="D162" i="6"/>
  <c r="F162" i="6" s="1"/>
  <c r="E162" i="6"/>
  <c r="G162" i="6" s="1"/>
  <c r="D163" i="6"/>
  <c r="F163" i="6" s="1"/>
  <c r="E163" i="6"/>
  <c r="G163" i="6" s="1"/>
  <c r="H163" i="6" s="1"/>
  <c r="I163" i="6" s="1"/>
  <c r="D164" i="6"/>
  <c r="F164" i="6" s="1"/>
  <c r="E164" i="6"/>
  <c r="G164" i="6" s="1"/>
  <c r="H164" i="6" s="1"/>
  <c r="I164" i="6" s="1"/>
  <c r="D165" i="6"/>
  <c r="F165" i="6" s="1"/>
  <c r="E165" i="6"/>
  <c r="G165" i="6" s="1"/>
  <c r="D166" i="6"/>
  <c r="F166" i="6" s="1"/>
  <c r="E166" i="6"/>
  <c r="G166" i="6" s="1"/>
  <c r="D167" i="6"/>
  <c r="F167" i="6" s="1"/>
  <c r="E167" i="6"/>
  <c r="G167" i="6" s="1"/>
  <c r="H167" i="6" s="1"/>
  <c r="I167" i="6" s="1"/>
  <c r="D168" i="6"/>
  <c r="F168" i="6" s="1"/>
  <c r="E168" i="6"/>
  <c r="G168" i="6" s="1"/>
  <c r="C168" i="6" s="1"/>
  <c r="D169" i="6"/>
  <c r="F169" i="6" s="1"/>
  <c r="E169" i="6"/>
  <c r="G169" i="6" s="1"/>
  <c r="C169" i="6" s="1"/>
  <c r="L10" i="4"/>
  <c r="L9" i="4"/>
  <c r="C17" i="4"/>
  <c r="D17" i="4"/>
  <c r="E17" i="4"/>
  <c r="F17" i="4"/>
  <c r="G17" i="4" s="1"/>
  <c r="H17" i="4" s="1"/>
  <c r="C18" i="4"/>
  <c r="E18" i="4" s="1"/>
  <c r="D18" i="4"/>
  <c r="F18" i="4" s="1"/>
  <c r="G18" i="4" s="1"/>
  <c r="H18" i="4" s="1"/>
  <c r="C19" i="4"/>
  <c r="D19" i="4"/>
  <c r="E19" i="4"/>
  <c r="F19" i="4"/>
  <c r="G19" i="4" s="1"/>
  <c r="H19" i="4" s="1"/>
  <c r="C20" i="4"/>
  <c r="D20" i="4"/>
  <c r="F20" i="4" s="1"/>
  <c r="G20" i="4" s="1"/>
  <c r="H20" i="4" s="1"/>
  <c r="E20" i="4"/>
  <c r="C21" i="4"/>
  <c r="D21" i="4"/>
  <c r="F21" i="4" s="1"/>
  <c r="G21" i="4" s="1"/>
  <c r="H21" i="4" s="1"/>
  <c r="E21" i="4"/>
  <c r="C22" i="4"/>
  <c r="E22" i="4" s="1"/>
  <c r="D22" i="4"/>
  <c r="F22" i="4" s="1"/>
  <c r="G22" i="4" s="1"/>
  <c r="H22" i="4" s="1"/>
  <c r="C23" i="4"/>
  <c r="E23" i="4" s="1"/>
  <c r="D23" i="4"/>
  <c r="F23" i="4" s="1"/>
  <c r="G23" i="4" s="1"/>
  <c r="H23" i="4" s="1"/>
  <c r="C24" i="4"/>
  <c r="E24" i="4" s="1"/>
  <c r="D24" i="4"/>
  <c r="F24" i="4" s="1"/>
  <c r="G24" i="4" s="1"/>
  <c r="H24" i="4" s="1"/>
  <c r="C25" i="4"/>
  <c r="D25" i="4"/>
  <c r="E25" i="4"/>
  <c r="F25" i="4"/>
  <c r="G25" i="4" s="1"/>
  <c r="H25" i="4" s="1"/>
  <c r="C26" i="4"/>
  <c r="E26" i="4" s="1"/>
  <c r="D26" i="4"/>
  <c r="F26" i="4" s="1"/>
  <c r="G26" i="4" s="1"/>
  <c r="H26" i="4" s="1"/>
  <c r="C27" i="4"/>
  <c r="D27" i="4"/>
  <c r="E27" i="4"/>
  <c r="F27" i="4"/>
  <c r="G27" i="4" s="1"/>
  <c r="H27" i="4" s="1"/>
  <c r="C28" i="4"/>
  <c r="D28" i="4"/>
  <c r="F28" i="4" s="1"/>
  <c r="G28" i="4" s="1"/>
  <c r="H28" i="4" s="1"/>
  <c r="E28" i="4"/>
  <c r="C29" i="4"/>
  <c r="D29" i="4"/>
  <c r="F29" i="4" s="1"/>
  <c r="G29" i="4" s="1"/>
  <c r="H29" i="4" s="1"/>
  <c r="E29" i="4"/>
  <c r="C30" i="4"/>
  <c r="E30" i="4" s="1"/>
  <c r="D30" i="4"/>
  <c r="F30" i="4" s="1"/>
  <c r="G30" i="4" s="1"/>
  <c r="H30" i="4" s="1"/>
  <c r="C31" i="4"/>
  <c r="E31" i="4" s="1"/>
  <c r="D31" i="4"/>
  <c r="F31" i="4" s="1"/>
  <c r="G31" i="4" s="1"/>
  <c r="H31" i="4" s="1"/>
  <c r="C32" i="4"/>
  <c r="E32" i="4" s="1"/>
  <c r="D32" i="4"/>
  <c r="F32" i="4" s="1"/>
  <c r="G32" i="4" s="1"/>
  <c r="H32" i="4" s="1"/>
  <c r="C33" i="4"/>
  <c r="D33" i="4"/>
  <c r="E33" i="4"/>
  <c r="F33" i="4"/>
  <c r="G33" i="4" s="1"/>
  <c r="H33" i="4" s="1"/>
  <c r="C34" i="4"/>
  <c r="E34" i="4" s="1"/>
  <c r="D34" i="4"/>
  <c r="F34" i="4" s="1"/>
  <c r="G34" i="4" s="1"/>
  <c r="H34" i="4" s="1"/>
  <c r="C35" i="4"/>
  <c r="D35" i="4"/>
  <c r="E35" i="4"/>
  <c r="F35" i="4"/>
  <c r="G35" i="4" s="1"/>
  <c r="H35" i="4" s="1"/>
  <c r="C36" i="4"/>
  <c r="D36" i="4"/>
  <c r="F36" i="4" s="1"/>
  <c r="G36" i="4" s="1"/>
  <c r="H36" i="4" s="1"/>
  <c r="E36" i="4"/>
  <c r="C37" i="4"/>
  <c r="D37" i="4"/>
  <c r="F37" i="4" s="1"/>
  <c r="G37" i="4" s="1"/>
  <c r="H37" i="4" s="1"/>
  <c r="E37" i="4"/>
  <c r="C38" i="4"/>
  <c r="E38" i="4" s="1"/>
  <c r="D38" i="4"/>
  <c r="F38" i="4" s="1"/>
  <c r="G38" i="4" s="1"/>
  <c r="H38" i="4" s="1"/>
  <c r="C39" i="4"/>
  <c r="E39" i="4" s="1"/>
  <c r="D39" i="4"/>
  <c r="F39" i="4" s="1"/>
  <c r="G39" i="4" s="1"/>
  <c r="H39" i="4" s="1"/>
  <c r="C40" i="4"/>
  <c r="E40" i="4" s="1"/>
  <c r="D40" i="4"/>
  <c r="F40" i="4" s="1"/>
  <c r="G40" i="4" s="1"/>
  <c r="H40" i="4" s="1"/>
  <c r="C41" i="4"/>
  <c r="D41" i="4"/>
  <c r="E41" i="4"/>
  <c r="F41" i="4"/>
  <c r="G41" i="4" s="1"/>
  <c r="H41" i="4" s="1"/>
  <c r="C42" i="4"/>
  <c r="E42" i="4" s="1"/>
  <c r="D42" i="4"/>
  <c r="F42" i="4" s="1"/>
  <c r="G42" i="4" s="1"/>
  <c r="H42" i="4" s="1"/>
  <c r="C43" i="4"/>
  <c r="D43" i="4"/>
  <c r="E43" i="4"/>
  <c r="F43" i="4"/>
  <c r="G43" i="4" s="1"/>
  <c r="H43" i="4" s="1"/>
  <c r="C44" i="4"/>
  <c r="D44" i="4"/>
  <c r="F44" i="4" s="1"/>
  <c r="G44" i="4" s="1"/>
  <c r="H44" i="4" s="1"/>
  <c r="E44" i="4"/>
  <c r="C45" i="4"/>
  <c r="D45" i="4"/>
  <c r="F45" i="4" s="1"/>
  <c r="G45" i="4" s="1"/>
  <c r="H45" i="4" s="1"/>
  <c r="E45" i="4"/>
  <c r="C46" i="4"/>
  <c r="E46" i="4" s="1"/>
  <c r="D46" i="4"/>
  <c r="F46" i="4" s="1"/>
  <c r="G46" i="4" s="1"/>
  <c r="H46" i="4" s="1"/>
  <c r="C47" i="4"/>
  <c r="E47" i="4" s="1"/>
  <c r="D47" i="4"/>
  <c r="F47" i="4" s="1"/>
  <c r="G47" i="4" s="1"/>
  <c r="H47" i="4" s="1"/>
  <c r="C48" i="4"/>
  <c r="E48" i="4" s="1"/>
  <c r="D48" i="4"/>
  <c r="F48" i="4" s="1"/>
  <c r="G48" i="4" s="1"/>
  <c r="H48" i="4" s="1"/>
  <c r="C49" i="4"/>
  <c r="D49" i="4"/>
  <c r="E49" i="4"/>
  <c r="F49" i="4"/>
  <c r="G49" i="4" s="1"/>
  <c r="H49" i="4" s="1"/>
  <c r="C50" i="4"/>
  <c r="E50" i="4" s="1"/>
  <c r="D50" i="4"/>
  <c r="F50" i="4" s="1"/>
  <c r="G50" i="4" s="1"/>
  <c r="H50" i="4" s="1"/>
  <c r="C51" i="4"/>
  <c r="D51" i="4"/>
  <c r="E51" i="4"/>
  <c r="F51" i="4"/>
  <c r="G51" i="4" s="1"/>
  <c r="H51" i="4" s="1"/>
  <c r="C52" i="4"/>
  <c r="D52" i="4"/>
  <c r="F52" i="4" s="1"/>
  <c r="G52" i="4" s="1"/>
  <c r="H52" i="4" s="1"/>
  <c r="E52" i="4"/>
  <c r="C53" i="4"/>
  <c r="D53" i="4"/>
  <c r="F53" i="4" s="1"/>
  <c r="G53" i="4" s="1"/>
  <c r="H53" i="4" s="1"/>
  <c r="E53" i="4"/>
  <c r="C54" i="4"/>
  <c r="E54" i="4" s="1"/>
  <c r="D54" i="4"/>
  <c r="F54" i="4" s="1"/>
  <c r="G54" i="4" s="1"/>
  <c r="H54" i="4" s="1"/>
  <c r="C55" i="4"/>
  <c r="E55" i="4" s="1"/>
  <c r="D55" i="4"/>
  <c r="F55" i="4" s="1"/>
  <c r="G55" i="4" s="1"/>
  <c r="H55" i="4" s="1"/>
  <c r="C56" i="4"/>
  <c r="E56" i="4" s="1"/>
  <c r="D56" i="4"/>
  <c r="F56" i="4" s="1"/>
  <c r="G56" i="4" s="1"/>
  <c r="H56" i="4" s="1"/>
  <c r="C57" i="4"/>
  <c r="D57" i="4"/>
  <c r="E57" i="4"/>
  <c r="F57" i="4"/>
  <c r="G57" i="4" s="1"/>
  <c r="H57" i="4" s="1"/>
  <c r="C58" i="4"/>
  <c r="E58" i="4" s="1"/>
  <c r="D58" i="4"/>
  <c r="F58" i="4" s="1"/>
  <c r="G58" i="4" s="1"/>
  <c r="H58" i="4" s="1"/>
  <c r="C59" i="4"/>
  <c r="D59" i="4"/>
  <c r="E59" i="4"/>
  <c r="F59" i="4"/>
  <c r="G59" i="4" s="1"/>
  <c r="H59" i="4" s="1"/>
  <c r="C60" i="4"/>
  <c r="D60" i="4"/>
  <c r="F60" i="4" s="1"/>
  <c r="G60" i="4" s="1"/>
  <c r="H60" i="4" s="1"/>
  <c r="E60" i="4"/>
  <c r="C61" i="4"/>
  <c r="D61" i="4"/>
  <c r="F61" i="4" s="1"/>
  <c r="G61" i="4" s="1"/>
  <c r="H61" i="4" s="1"/>
  <c r="E61" i="4"/>
  <c r="C62" i="4"/>
  <c r="E62" i="4" s="1"/>
  <c r="D62" i="4"/>
  <c r="F62" i="4" s="1"/>
  <c r="G62" i="4" s="1"/>
  <c r="H62" i="4" s="1"/>
  <c r="C63" i="4"/>
  <c r="E63" i="4" s="1"/>
  <c r="D63" i="4"/>
  <c r="F63" i="4" s="1"/>
  <c r="G63" i="4" s="1"/>
  <c r="H63" i="4" s="1"/>
  <c r="C64" i="4"/>
  <c r="E64" i="4" s="1"/>
  <c r="D64" i="4"/>
  <c r="F64" i="4" s="1"/>
  <c r="G64" i="4" s="1"/>
  <c r="H64" i="4" s="1"/>
  <c r="C65" i="4"/>
  <c r="D65" i="4"/>
  <c r="E65" i="4"/>
  <c r="F65" i="4"/>
  <c r="G65" i="4" s="1"/>
  <c r="H65" i="4" s="1"/>
  <c r="C66" i="4"/>
  <c r="E66" i="4" s="1"/>
  <c r="D66" i="4"/>
  <c r="F66" i="4" s="1"/>
  <c r="G66" i="4" s="1"/>
  <c r="H66" i="4" s="1"/>
  <c r="C67" i="4"/>
  <c r="D67" i="4"/>
  <c r="E67" i="4"/>
  <c r="F67" i="4"/>
  <c r="G67" i="4" s="1"/>
  <c r="H67" i="4" s="1"/>
  <c r="C68" i="4"/>
  <c r="D68" i="4"/>
  <c r="F68" i="4" s="1"/>
  <c r="G68" i="4" s="1"/>
  <c r="H68" i="4" s="1"/>
  <c r="E68" i="4"/>
  <c r="C69" i="4"/>
  <c r="D69" i="4"/>
  <c r="F69" i="4" s="1"/>
  <c r="G69" i="4" s="1"/>
  <c r="H69" i="4" s="1"/>
  <c r="E69" i="4"/>
  <c r="C70" i="4"/>
  <c r="E70" i="4" s="1"/>
  <c r="D70" i="4"/>
  <c r="F70" i="4" s="1"/>
  <c r="G70" i="4" s="1"/>
  <c r="H70" i="4" s="1"/>
  <c r="C71" i="4"/>
  <c r="E71" i="4" s="1"/>
  <c r="D71" i="4"/>
  <c r="F71" i="4" s="1"/>
  <c r="G71" i="4" s="1"/>
  <c r="H71" i="4" s="1"/>
  <c r="C72" i="4"/>
  <c r="E72" i="4" s="1"/>
  <c r="D72" i="4"/>
  <c r="F72" i="4" s="1"/>
  <c r="G72" i="4" s="1"/>
  <c r="H72" i="4" s="1"/>
  <c r="C73" i="4"/>
  <c r="D73" i="4"/>
  <c r="E73" i="4"/>
  <c r="F73" i="4"/>
  <c r="G73" i="4" s="1"/>
  <c r="H73" i="4" s="1"/>
  <c r="C74" i="4"/>
  <c r="E74" i="4" s="1"/>
  <c r="D74" i="4"/>
  <c r="F74" i="4" s="1"/>
  <c r="G74" i="4" s="1"/>
  <c r="H74" i="4" s="1"/>
  <c r="C75" i="4"/>
  <c r="D75" i="4"/>
  <c r="E75" i="4"/>
  <c r="F75" i="4"/>
  <c r="G75" i="4" s="1"/>
  <c r="H75" i="4" s="1"/>
  <c r="C76" i="4"/>
  <c r="D76" i="4"/>
  <c r="F76" i="4" s="1"/>
  <c r="G76" i="4" s="1"/>
  <c r="H76" i="4" s="1"/>
  <c r="E76" i="4"/>
  <c r="C77" i="4"/>
  <c r="D77" i="4"/>
  <c r="F77" i="4" s="1"/>
  <c r="G77" i="4" s="1"/>
  <c r="H77" i="4" s="1"/>
  <c r="E77" i="4"/>
  <c r="C78" i="4"/>
  <c r="E78" i="4" s="1"/>
  <c r="D78" i="4"/>
  <c r="F78" i="4" s="1"/>
  <c r="G78" i="4" s="1"/>
  <c r="H78" i="4" s="1"/>
  <c r="C79" i="4"/>
  <c r="E79" i="4" s="1"/>
  <c r="D79" i="4"/>
  <c r="F79" i="4" s="1"/>
  <c r="G79" i="4" s="1"/>
  <c r="H79" i="4" s="1"/>
  <c r="C80" i="4"/>
  <c r="E80" i="4" s="1"/>
  <c r="D80" i="4"/>
  <c r="F80" i="4" s="1"/>
  <c r="G80" i="4" s="1"/>
  <c r="H80" i="4" s="1"/>
  <c r="C81" i="4"/>
  <c r="D81" i="4"/>
  <c r="E81" i="4"/>
  <c r="F81" i="4"/>
  <c r="G81" i="4" s="1"/>
  <c r="H81" i="4" s="1"/>
  <c r="C82" i="4"/>
  <c r="E82" i="4" s="1"/>
  <c r="D82" i="4"/>
  <c r="F82" i="4" s="1"/>
  <c r="G82" i="4" s="1"/>
  <c r="H82" i="4" s="1"/>
  <c r="C83" i="4"/>
  <c r="D83" i="4"/>
  <c r="E83" i="4"/>
  <c r="F83" i="4"/>
  <c r="G83" i="4" s="1"/>
  <c r="H83" i="4" s="1"/>
  <c r="C84" i="4"/>
  <c r="D84" i="4"/>
  <c r="F84" i="4" s="1"/>
  <c r="G84" i="4" s="1"/>
  <c r="H84" i="4" s="1"/>
  <c r="E84" i="4"/>
  <c r="C85" i="4"/>
  <c r="D85" i="4"/>
  <c r="F85" i="4" s="1"/>
  <c r="G85" i="4" s="1"/>
  <c r="H85" i="4" s="1"/>
  <c r="E85" i="4"/>
  <c r="C86" i="4"/>
  <c r="E86" i="4" s="1"/>
  <c r="D86" i="4"/>
  <c r="F86" i="4" s="1"/>
  <c r="G86" i="4" s="1"/>
  <c r="H86" i="4" s="1"/>
  <c r="C87" i="4"/>
  <c r="E87" i="4" s="1"/>
  <c r="D87" i="4"/>
  <c r="F87" i="4" s="1"/>
  <c r="G87" i="4" s="1"/>
  <c r="H87" i="4" s="1"/>
  <c r="C88" i="4"/>
  <c r="E88" i="4" s="1"/>
  <c r="D88" i="4"/>
  <c r="F88" i="4" s="1"/>
  <c r="G88" i="4" s="1"/>
  <c r="H88" i="4" s="1"/>
  <c r="C89" i="4"/>
  <c r="D89" i="4"/>
  <c r="E89" i="4"/>
  <c r="F89" i="4"/>
  <c r="G89" i="4" s="1"/>
  <c r="H89" i="4" s="1"/>
  <c r="C90" i="4"/>
  <c r="E90" i="4" s="1"/>
  <c r="D90" i="4"/>
  <c r="F90" i="4" s="1"/>
  <c r="G90" i="4" s="1"/>
  <c r="H90" i="4" s="1"/>
  <c r="C91" i="4"/>
  <c r="D91" i="4"/>
  <c r="E91" i="4"/>
  <c r="F91" i="4"/>
  <c r="G91" i="4" s="1"/>
  <c r="H91" i="4" s="1"/>
  <c r="C92" i="4"/>
  <c r="D92" i="4"/>
  <c r="F92" i="4" s="1"/>
  <c r="G92" i="4" s="1"/>
  <c r="H92" i="4" s="1"/>
  <c r="E92" i="4"/>
  <c r="C93" i="4"/>
  <c r="D93" i="4"/>
  <c r="F93" i="4" s="1"/>
  <c r="G93" i="4" s="1"/>
  <c r="H93" i="4" s="1"/>
  <c r="E93" i="4"/>
  <c r="C94" i="4"/>
  <c r="E94" i="4" s="1"/>
  <c r="D94" i="4"/>
  <c r="F94" i="4" s="1"/>
  <c r="G94" i="4" s="1"/>
  <c r="H94" i="4" s="1"/>
  <c r="C95" i="4"/>
  <c r="E95" i="4" s="1"/>
  <c r="D95" i="4"/>
  <c r="F95" i="4" s="1"/>
  <c r="G95" i="4" s="1"/>
  <c r="H95" i="4" s="1"/>
  <c r="C96" i="4"/>
  <c r="E96" i="4" s="1"/>
  <c r="D96" i="4"/>
  <c r="F96" i="4"/>
  <c r="G96" i="4"/>
  <c r="H96" i="4"/>
  <c r="C97" i="4"/>
  <c r="D97" i="4"/>
  <c r="E97" i="4"/>
  <c r="F97" i="4"/>
  <c r="G97" i="4"/>
  <c r="H97" i="4" s="1"/>
  <c r="C98" i="4"/>
  <c r="E98" i="4" s="1"/>
  <c r="D98" i="4"/>
  <c r="F98" i="4" s="1"/>
  <c r="G98" i="4" s="1"/>
  <c r="H98" i="4" s="1"/>
  <c r="C99" i="4"/>
  <c r="D99" i="4"/>
  <c r="E99" i="4"/>
  <c r="F99" i="4"/>
  <c r="G99" i="4" s="1"/>
  <c r="H99" i="4" s="1"/>
  <c r="C100" i="4"/>
  <c r="D100" i="4"/>
  <c r="F100" i="4" s="1"/>
  <c r="G100" i="4" s="1"/>
  <c r="H100" i="4" s="1"/>
  <c r="E100" i="4"/>
  <c r="C101" i="4"/>
  <c r="D101" i="4"/>
  <c r="F101" i="4" s="1"/>
  <c r="G101" i="4" s="1"/>
  <c r="H101" i="4" s="1"/>
  <c r="E101" i="4"/>
  <c r="C102" i="4"/>
  <c r="E102" i="4" s="1"/>
  <c r="D102" i="4"/>
  <c r="F102" i="4" s="1"/>
  <c r="G102" i="4" s="1"/>
  <c r="H102" i="4" s="1"/>
  <c r="C103" i="4"/>
  <c r="E103" i="4" s="1"/>
  <c r="D103" i="4"/>
  <c r="F103" i="4" s="1"/>
  <c r="G103" i="4" s="1"/>
  <c r="H103" i="4" s="1"/>
  <c r="C104" i="4"/>
  <c r="E104" i="4" s="1"/>
  <c r="D104" i="4"/>
  <c r="F104" i="4"/>
  <c r="G104" i="4"/>
  <c r="H104" i="4"/>
  <c r="C105" i="4"/>
  <c r="D105" i="4"/>
  <c r="E105" i="4"/>
  <c r="F105" i="4"/>
  <c r="G105" i="4"/>
  <c r="H105" i="4" s="1"/>
  <c r="C106" i="4"/>
  <c r="E106" i="4" s="1"/>
  <c r="D106" i="4"/>
  <c r="F106" i="4" s="1"/>
  <c r="G106" i="4" s="1"/>
  <c r="H106" i="4" s="1"/>
  <c r="C107" i="4"/>
  <c r="D107" i="4"/>
  <c r="E107" i="4"/>
  <c r="F107" i="4"/>
  <c r="G107" i="4" s="1"/>
  <c r="H107" i="4" s="1"/>
  <c r="C108" i="4"/>
  <c r="D108" i="4"/>
  <c r="F108" i="4" s="1"/>
  <c r="G108" i="4" s="1"/>
  <c r="H108" i="4" s="1"/>
  <c r="E108" i="4"/>
  <c r="C109" i="4"/>
  <c r="D109" i="4"/>
  <c r="F109" i="4" s="1"/>
  <c r="G109" i="4" s="1"/>
  <c r="H109" i="4" s="1"/>
  <c r="E109" i="4"/>
  <c r="C110" i="4"/>
  <c r="E110" i="4" s="1"/>
  <c r="D110" i="4"/>
  <c r="F110" i="4" s="1"/>
  <c r="G110" i="4" s="1"/>
  <c r="H110" i="4" s="1"/>
  <c r="C111" i="4"/>
  <c r="E111" i="4" s="1"/>
  <c r="D111" i="4"/>
  <c r="F111" i="4" s="1"/>
  <c r="G111" i="4" s="1"/>
  <c r="H111" i="4" s="1"/>
  <c r="C112" i="4"/>
  <c r="E112" i="4" s="1"/>
  <c r="D112" i="4"/>
  <c r="F112" i="4"/>
  <c r="G112" i="4"/>
  <c r="H112" i="4"/>
  <c r="C113" i="4"/>
  <c r="D113" i="4"/>
  <c r="E113" i="4"/>
  <c r="F113" i="4"/>
  <c r="G113" i="4"/>
  <c r="H113" i="4" s="1"/>
  <c r="C114" i="4"/>
  <c r="E114" i="4" s="1"/>
  <c r="D114" i="4"/>
  <c r="F114" i="4" s="1"/>
  <c r="G114" i="4" s="1"/>
  <c r="H114" i="4" s="1"/>
  <c r="C115" i="4"/>
  <c r="D115" i="4"/>
  <c r="E115" i="4"/>
  <c r="F115" i="4"/>
  <c r="G115" i="4" s="1"/>
  <c r="H115" i="4" s="1"/>
  <c r="C116" i="4"/>
  <c r="D116" i="4"/>
  <c r="F116" i="4" s="1"/>
  <c r="G116" i="4" s="1"/>
  <c r="H116" i="4" s="1"/>
  <c r="E116" i="4"/>
  <c r="C117" i="4"/>
  <c r="D117" i="4"/>
  <c r="F117" i="4" s="1"/>
  <c r="G117" i="4" s="1"/>
  <c r="H117" i="4" s="1"/>
  <c r="E117" i="4"/>
  <c r="C118" i="4"/>
  <c r="E118" i="4" s="1"/>
  <c r="D118" i="4"/>
  <c r="F118" i="4" s="1"/>
  <c r="G118" i="4" s="1"/>
  <c r="H118" i="4" s="1"/>
  <c r="C119" i="4"/>
  <c r="E119" i="4" s="1"/>
  <c r="D119" i="4"/>
  <c r="F119" i="4" s="1"/>
  <c r="G119" i="4" s="1"/>
  <c r="H119" i="4" s="1"/>
  <c r="C120" i="4"/>
  <c r="E120" i="4" s="1"/>
  <c r="D120" i="4"/>
  <c r="F120" i="4"/>
  <c r="G120" i="4"/>
  <c r="H120" i="4"/>
  <c r="C121" i="4"/>
  <c r="D121" i="4"/>
  <c r="E121" i="4"/>
  <c r="F121" i="4"/>
  <c r="G121" i="4"/>
  <c r="H121" i="4" s="1"/>
  <c r="C122" i="4"/>
  <c r="E122" i="4" s="1"/>
  <c r="D122" i="4"/>
  <c r="F122" i="4" s="1"/>
  <c r="G122" i="4" s="1"/>
  <c r="H122" i="4" s="1"/>
  <c r="C123" i="4"/>
  <c r="D123" i="4"/>
  <c r="E123" i="4"/>
  <c r="F123" i="4"/>
  <c r="G123" i="4" s="1"/>
  <c r="H123" i="4" s="1"/>
  <c r="C124" i="4"/>
  <c r="D124" i="4"/>
  <c r="F124" i="4" s="1"/>
  <c r="G124" i="4" s="1"/>
  <c r="H124" i="4" s="1"/>
  <c r="E124" i="4"/>
  <c r="C125" i="4"/>
  <c r="D125" i="4"/>
  <c r="F125" i="4" s="1"/>
  <c r="G125" i="4" s="1"/>
  <c r="H125" i="4" s="1"/>
  <c r="E125" i="4"/>
  <c r="C126" i="4"/>
  <c r="E126" i="4" s="1"/>
  <c r="D126" i="4"/>
  <c r="F126" i="4" s="1"/>
  <c r="G126" i="4" s="1"/>
  <c r="H126" i="4" s="1"/>
  <c r="C127" i="4"/>
  <c r="E127" i="4" s="1"/>
  <c r="D127" i="4"/>
  <c r="F127" i="4" s="1"/>
  <c r="G127" i="4" s="1"/>
  <c r="H127" i="4" s="1"/>
  <c r="C128" i="4"/>
  <c r="E128" i="4" s="1"/>
  <c r="D128" i="4"/>
  <c r="F128" i="4"/>
  <c r="G128" i="4"/>
  <c r="H128" i="4"/>
  <c r="C129" i="4"/>
  <c r="D129" i="4"/>
  <c r="E129" i="4"/>
  <c r="F129" i="4"/>
  <c r="G129" i="4"/>
  <c r="H129" i="4" s="1"/>
  <c r="C130" i="4"/>
  <c r="E130" i="4" s="1"/>
  <c r="D130" i="4"/>
  <c r="F130" i="4"/>
  <c r="G130" i="4"/>
  <c r="H130" i="4" s="1"/>
  <c r="C131" i="4"/>
  <c r="D131" i="4"/>
  <c r="E131" i="4"/>
  <c r="F131" i="4"/>
  <c r="G131" i="4" s="1"/>
  <c r="H131" i="4" s="1"/>
  <c r="C132" i="4"/>
  <c r="D132" i="4"/>
  <c r="F132" i="4" s="1"/>
  <c r="G132" i="4" s="1"/>
  <c r="H132" i="4" s="1"/>
  <c r="E132" i="4"/>
  <c r="C133" i="4"/>
  <c r="D133" i="4"/>
  <c r="F133" i="4" s="1"/>
  <c r="G133" i="4" s="1"/>
  <c r="H133" i="4" s="1"/>
  <c r="E133" i="4"/>
  <c r="C134" i="4"/>
  <c r="E134" i="4" s="1"/>
  <c r="D134" i="4"/>
  <c r="F134" i="4" s="1"/>
  <c r="G134" i="4" s="1"/>
  <c r="H134" i="4" s="1"/>
  <c r="C135" i="4"/>
  <c r="E135" i="4" s="1"/>
  <c r="D135" i="4"/>
  <c r="F135" i="4" s="1"/>
  <c r="G135" i="4" s="1"/>
  <c r="H135" i="4" s="1"/>
  <c r="C136" i="4"/>
  <c r="E136" i="4" s="1"/>
  <c r="D136" i="4"/>
  <c r="F136" i="4"/>
  <c r="G136" i="4"/>
  <c r="H136" i="4"/>
  <c r="C137" i="4"/>
  <c r="D137" i="4"/>
  <c r="E137" i="4"/>
  <c r="F137" i="4"/>
  <c r="G137" i="4"/>
  <c r="H137" i="4" s="1"/>
  <c r="C138" i="4"/>
  <c r="E138" i="4" s="1"/>
  <c r="D138" i="4"/>
  <c r="F138" i="4"/>
  <c r="G138" i="4"/>
  <c r="H138" i="4" s="1"/>
  <c r="C139" i="4"/>
  <c r="D139" i="4"/>
  <c r="E139" i="4"/>
  <c r="F139" i="4"/>
  <c r="G139" i="4" s="1"/>
  <c r="H139" i="4" s="1"/>
  <c r="C140" i="4"/>
  <c r="D140" i="4"/>
  <c r="F140" i="4" s="1"/>
  <c r="G140" i="4" s="1"/>
  <c r="H140" i="4" s="1"/>
  <c r="E140" i="4"/>
  <c r="C141" i="4"/>
  <c r="D141" i="4"/>
  <c r="F141" i="4" s="1"/>
  <c r="G141" i="4" s="1"/>
  <c r="H141" i="4" s="1"/>
  <c r="E141" i="4"/>
  <c r="C142" i="4"/>
  <c r="E142" i="4" s="1"/>
  <c r="D142" i="4"/>
  <c r="F142" i="4" s="1"/>
  <c r="G142" i="4" s="1"/>
  <c r="H142" i="4" s="1"/>
  <c r="C143" i="4"/>
  <c r="E143" i="4" s="1"/>
  <c r="D143" i="4"/>
  <c r="F143" i="4" s="1"/>
  <c r="G143" i="4" s="1"/>
  <c r="H143" i="4" s="1"/>
  <c r="C144" i="4"/>
  <c r="E144" i="4" s="1"/>
  <c r="D144" i="4"/>
  <c r="F144" i="4"/>
  <c r="G144" i="4"/>
  <c r="H144" i="4"/>
  <c r="C145" i="4"/>
  <c r="D145" i="4"/>
  <c r="E145" i="4"/>
  <c r="F145" i="4"/>
  <c r="G145" i="4"/>
  <c r="H145" i="4" s="1"/>
  <c r="C146" i="4"/>
  <c r="E146" i="4" s="1"/>
  <c r="D146" i="4"/>
  <c r="F146" i="4"/>
  <c r="G146" i="4"/>
  <c r="H146" i="4" s="1"/>
  <c r="C147" i="4"/>
  <c r="D147" i="4"/>
  <c r="E147" i="4"/>
  <c r="F147" i="4"/>
  <c r="G147" i="4" s="1"/>
  <c r="H147" i="4" s="1"/>
  <c r="C148" i="4"/>
  <c r="D148" i="4"/>
  <c r="E148" i="4"/>
  <c r="F148" i="4"/>
  <c r="G148" i="4" s="1"/>
  <c r="H148" i="4" s="1"/>
  <c r="C149" i="4"/>
  <c r="D149" i="4"/>
  <c r="F149" i="4" s="1"/>
  <c r="G149" i="4" s="1"/>
  <c r="H149" i="4" s="1"/>
  <c r="E149" i="4"/>
  <c r="C150" i="4"/>
  <c r="E150" i="4" s="1"/>
  <c r="D150" i="4"/>
  <c r="F150" i="4" s="1"/>
  <c r="G150" i="4" s="1"/>
  <c r="H150" i="4" s="1"/>
  <c r="C151" i="4"/>
  <c r="E151" i="4" s="1"/>
  <c r="D151" i="4"/>
  <c r="F151" i="4" s="1"/>
  <c r="G151" i="4" s="1"/>
  <c r="H151" i="4" s="1"/>
  <c r="C152" i="4"/>
  <c r="E152" i="4" s="1"/>
  <c r="D152" i="4"/>
  <c r="F152" i="4"/>
  <c r="G152" i="4"/>
  <c r="H152" i="4"/>
  <c r="C153" i="4"/>
  <c r="D153" i="4"/>
  <c r="E153" i="4"/>
  <c r="F153" i="4"/>
  <c r="G153" i="4"/>
  <c r="H153" i="4" s="1"/>
  <c r="C154" i="4"/>
  <c r="E154" i="4" s="1"/>
  <c r="D154" i="4"/>
  <c r="F154" i="4"/>
  <c r="G154" i="4"/>
  <c r="H154" i="4" s="1"/>
  <c r="C155" i="4"/>
  <c r="D155" i="4"/>
  <c r="E155" i="4"/>
  <c r="F155" i="4"/>
  <c r="G155" i="4" s="1"/>
  <c r="H155" i="4" s="1"/>
  <c r="C156" i="4"/>
  <c r="D156" i="4"/>
  <c r="E156" i="4"/>
  <c r="F156" i="4"/>
  <c r="G156" i="4" s="1"/>
  <c r="H156" i="4" s="1"/>
  <c r="C157" i="4"/>
  <c r="D157" i="4"/>
  <c r="F157" i="4" s="1"/>
  <c r="G157" i="4" s="1"/>
  <c r="H157" i="4" s="1"/>
  <c r="E157" i="4"/>
  <c r="C158" i="4"/>
  <c r="E158" i="4" s="1"/>
  <c r="D158" i="4"/>
  <c r="F158" i="4" s="1"/>
  <c r="G158" i="4" s="1"/>
  <c r="H158" i="4" s="1"/>
  <c r="C159" i="4"/>
  <c r="E159" i="4" s="1"/>
  <c r="D159" i="4"/>
  <c r="F159" i="4" s="1"/>
  <c r="G159" i="4" s="1"/>
  <c r="H159" i="4" s="1"/>
  <c r="C160" i="4"/>
  <c r="E160" i="4" s="1"/>
  <c r="D160" i="4"/>
  <c r="F160" i="4"/>
  <c r="G160" i="4"/>
  <c r="H160" i="4"/>
  <c r="C161" i="4"/>
  <c r="D161" i="4"/>
  <c r="E161" i="4"/>
  <c r="F161" i="4"/>
  <c r="G161" i="4"/>
  <c r="H161" i="4" s="1"/>
  <c r="C162" i="4"/>
  <c r="E162" i="4" s="1"/>
  <c r="D162" i="4"/>
  <c r="F162" i="4"/>
  <c r="G162" i="4"/>
  <c r="H162" i="4" s="1"/>
  <c r="C163" i="4"/>
  <c r="D163" i="4"/>
  <c r="E163" i="4"/>
  <c r="F163" i="4"/>
  <c r="G163" i="4" s="1"/>
  <c r="H163" i="4" s="1"/>
  <c r="C164" i="4"/>
  <c r="D164" i="4"/>
  <c r="E164" i="4"/>
  <c r="F164" i="4"/>
  <c r="G164" i="4" s="1"/>
  <c r="H164" i="4" s="1"/>
  <c r="C165" i="4"/>
  <c r="D165" i="4"/>
  <c r="F165" i="4" s="1"/>
  <c r="G165" i="4" s="1"/>
  <c r="H165" i="4" s="1"/>
  <c r="E165" i="4"/>
  <c r="C166" i="4"/>
  <c r="E166" i="4" s="1"/>
  <c r="D166" i="4"/>
  <c r="F166" i="4" s="1"/>
  <c r="G166" i="4" s="1"/>
  <c r="H166" i="4" s="1"/>
  <c r="C167" i="4"/>
  <c r="E167" i="4" s="1"/>
  <c r="D167" i="4"/>
  <c r="F167" i="4" s="1"/>
  <c r="G167" i="4" s="1"/>
  <c r="H167" i="4" s="1"/>
  <c r="C168" i="4"/>
  <c r="E168" i="4" s="1"/>
  <c r="D168" i="4"/>
  <c r="F168" i="4"/>
  <c r="G168" i="4"/>
  <c r="H168" i="4"/>
  <c r="C169" i="4"/>
  <c r="D169" i="4"/>
  <c r="E169" i="4"/>
  <c r="F169" i="4"/>
  <c r="G169" i="4"/>
  <c r="H169" i="4"/>
  <c r="C170" i="4"/>
  <c r="E170" i="4" s="1"/>
  <c r="D170" i="4"/>
  <c r="F170" i="4"/>
  <c r="G170" i="4"/>
  <c r="H170" i="4" s="1"/>
  <c r="C171" i="4"/>
  <c r="D171" i="4"/>
  <c r="E171" i="4"/>
  <c r="F171" i="4"/>
  <c r="G171" i="4" s="1"/>
  <c r="H171" i="4" s="1"/>
  <c r="C8" i="4"/>
  <c r="D8" i="4"/>
  <c r="E8" i="4"/>
  <c r="F8" i="4"/>
  <c r="G8" i="4"/>
  <c r="H8" i="4"/>
  <c r="C9" i="4"/>
  <c r="D9" i="4"/>
  <c r="E9" i="4"/>
  <c r="F9" i="4"/>
  <c r="G9" i="4" s="1"/>
  <c r="H9" i="4" s="1"/>
  <c r="C10" i="4"/>
  <c r="D10" i="4"/>
  <c r="E10" i="4"/>
  <c r="F10" i="4"/>
  <c r="G10" i="4" s="1"/>
  <c r="H10" i="4" s="1"/>
  <c r="C11" i="4"/>
  <c r="D11" i="4"/>
  <c r="E11" i="4"/>
  <c r="F11" i="4"/>
  <c r="G11" i="4" s="1"/>
  <c r="H11" i="4" s="1"/>
  <c r="C12" i="4"/>
  <c r="E12" i="4" s="1"/>
  <c r="D12" i="4"/>
  <c r="F12" i="4" s="1"/>
  <c r="G12" i="4" s="1"/>
  <c r="H12" i="4" s="1"/>
  <c r="C13" i="4"/>
  <c r="E13" i="4" s="1"/>
  <c r="D13" i="4"/>
  <c r="F13" i="4" s="1"/>
  <c r="G13" i="4" s="1"/>
  <c r="H13" i="4" s="1"/>
  <c r="C14" i="4"/>
  <c r="E14" i="4" s="1"/>
  <c r="D14" i="4"/>
  <c r="F14" i="4" s="1"/>
  <c r="G14" i="4" s="1"/>
  <c r="H14" i="4" s="1"/>
  <c r="C15" i="4"/>
  <c r="D15" i="4"/>
  <c r="E15" i="4"/>
  <c r="F15" i="4"/>
  <c r="G15" i="4" s="1"/>
  <c r="H15" i="4" s="1"/>
  <c r="C16" i="4"/>
  <c r="D16" i="4"/>
  <c r="E16" i="4"/>
  <c r="F16" i="4"/>
  <c r="G16" i="4"/>
  <c r="H16" i="4"/>
  <c r="G3" i="4"/>
  <c r="G4" i="4"/>
  <c r="H4" i="4" s="1"/>
  <c r="G5" i="4"/>
  <c r="H5" i="4" s="1"/>
  <c r="G6" i="4"/>
  <c r="G7" i="4"/>
  <c r="G2" i="4"/>
  <c r="H3" i="4"/>
  <c r="H7" i="4"/>
  <c r="H2" i="4"/>
  <c r="H6" i="4"/>
  <c r="E3" i="4"/>
  <c r="F3" i="4"/>
  <c r="E4" i="4"/>
  <c r="F4" i="4"/>
  <c r="E5" i="4"/>
  <c r="F5" i="4"/>
  <c r="E6" i="4"/>
  <c r="F6" i="4"/>
  <c r="E7" i="4"/>
  <c r="F7" i="4"/>
  <c r="F2" i="4"/>
  <c r="E2" i="4"/>
  <c r="C3" i="4"/>
  <c r="D3" i="4"/>
  <c r="C4" i="4"/>
  <c r="D4" i="4"/>
  <c r="C5" i="4"/>
  <c r="D5" i="4"/>
  <c r="C6" i="4"/>
  <c r="D6" i="4"/>
  <c r="C7" i="4"/>
  <c r="D7" i="4"/>
  <c r="D2" i="4"/>
  <c r="C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7" i="3"/>
  <c r="E138" i="3"/>
  <c r="E139" i="3"/>
  <c r="E140" i="3"/>
  <c r="E141" i="3"/>
  <c r="E142" i="3"/>
  <c r="E144" i="3"/>
  <c r="E146" i="3"/>
  <c r="E147" i="3"/>
  <c r="E148" i="3"/>
  <c r="E149" i="3"/>
  <c r="E151" i="3"/>
  <c r="E152" i="3"/>
  <c r="E153" i="3"/>
  <c r="E154" i="3"/>
  <c r="E155" i="3"/>
  <c r="E156" i="3"/>
  <c r="E157" i="3"/>
  <c r="E159" i="3"/>
  <c r="E161" i="3"/>
  <c r="E162" i="3"/>
  <c r="E163" i="3"/>
  <c r="E164" i="3"/>
  <c r="E165" i="3"/>
  <c r="E166" i="3"/>
  <c r="E167" i="3"/>
  <c r="E168" i="3"/>
  <c r="E169" i="3"/>
  <c r="E171" i="3"/>
  <c r="E2" i="3"/>
  <c r="B3" i="3"/>
  <c r="C3" i="3"/>
  <c r="D3" i="3"/>
  <c r="B4" i="3"/>
  <c r="D4" i="3" s="1"/>
  <c r="C4" i="3"/>
  <c r="B5" i="3"/>
  <c r="C5" i="3"/>
  <c r="D5" i="3"/>
  <c r="B6" i="3"/>
  <c r="D6" i="3" s="1"/>
  <c r="C6" i="3"/>
  <c r="B7" i="3"/>
  <c r="D7" i="3" s="1"/>
  <c r="C7" i="3"/>
  <c r="B8" i="3"/>
  <c r="D8" i="3" s="1"/>
  <c r="C8" i="3"/>
  <c r="B9" i="3"/>
  <c r="C9" i="3"/>
  <c r="D9" i="3"/>
  <c r="B10" i="3"/>
  <c r="D10" i="3" s="1"/>
  <c r="C10" i="3"/>
  <c r="B11" i="3"/>
  <c r="D11" i="3" s="1"/>
  <c r="C11" i="3"/>
  <c r="B12" i="3"/>
  <c r="D12" i="3" s="1"/>
  <c r="C12" i="3"/>
  <c r="B13" i="3"/>
  <c r="C13" i="3"/>
  <c r="D13" i="3"/>
  <c r="B14" i="3"/>
  <c r="C14" i="3"/>
  <c r="D14" i="3"/>
  <c r="B15" i="3"/>
  <c r="D15" i="3" s="1"/>
  <c r="C15" i="3"/>
  <c r="B16" i="3"/>
  <c r="C16" i="3"/>
  <c r="D16" i="3"/>
  <c r="B17" i="3"/>
  <c r="D17" i="3" s="1"/>
  <c r="C17" i="3"/>
  <c r="B18" i="3"/>
  <c r="D18" i="3" s="1"/>
  <c r="C18" i="3"/>
  <c r="B19" i="3"/>
  <c r="C19" i="3"/>
  <c r="D19" i="3"/>
  <c r="B20" i="3"/>
  <c r="D20" i="3" s="1"/>
  <c r="C20" i="3"/>
  <c r="B21" i="3"/>
  <c r="C21" i="3"/>
  <c r="D21" i="3"/>
  <c r="B22" i="3"/>
  <c r="D22" i="3" s="1"/>
  <c r="C22" i="3"/>
  <c r="B23" i="3"/>
  <c r="C23" i="3"/>
  <c r="D23" i="3"/>
  <c r="B24" i="3"/>
  <c r="C24" i="3"/>
  <c r="D24" i="3"/>
  <c r="B25" i="3"/>
  <c r="C25" i="3"/>
  <c r="D25" i="3"/>
  <c r="B26" i="3"/>
  <c r="D26" i="3" s="1"/>
  <c r="C26" i="3"/>
  <c r="B27" i="3"/>
  <c r="D27" i="3" s="1"/>
  <c r="C27" i="3"/>
  <c r="B28" i="3"/>
  <c r="D28" i="3" s="1"/>
  <c r="C28" i="3"/>
  <c r="B29" i="3"/>
  <c r="C29" i="3"/>
  <c r="D29" i="3"/>
  <c r="B30" i="3"/>
  <c r="C30" i="3"/>
  <c r="D30" i="3"/>
  <c r="B31" i="3"/>
  <c r="D31" i="3" s="1"/>
  <c r="C31" i="3"/>
  <c r="B32" i="3"/>
  <c r="C32" i="3"/>
  <c r="D32" i="3"/>
  <c r="B33" i="3"/>
  <c r="D33" i="3" s="1"/>
  <c r="C33" i="3"/>
  <c r="B34" i="3"/>
  <c r="D34" i="3" s="1"/>
  <c r="C34" i="3"/>
  <c r="B35" i="3"/>
  <c r="C35" i="3"/>
  <c r="D35" i="3"/>
  <c r="B36" i="3"/>
  <c r="D36" i="3" s="1"/>
  <c r="C36" i="3"/>
  <c r="B37" i="3"/>
  <c r="C37" i="3"/>
  <c r="D37" i="3"/>
  <c r="B38" i="3"/>
  <c r="D38" i="3" s="1"/>
  <c r="C38" i="3"/>
  <c r="B39" i="3"/>
  <c r="C39" i="3"/>
  <c r="D39" i="3"/>
  <c r="B40" i="3"/>
  <c r="C40" i="3"/>
  <c r="D40" i="3"/>
  <c r="B41" i="3"/>
  <c r="C41" i="3"/>
  <c r="D41" i="3"/>
  <c r="B42" i="3"/>
  <c r="D42" i="3" s="1"/>
  <c r="C42" i="3"/>
  <c r="B43" i="3"/>
  <c r="D43" i="3" s="1"/>
  <c r="C43" i="3"/>
  <c r="B44" i="3"/>
  <c r="D44" i="3" s="1"/>
  <c r="C44" i="3"/>
  <c r="B45" i="3"/>
  <c r="C45" i="3"/>
  <c r="D45" i="3"/>
  <c r="B46" i="3"/>
  <c r="C46" i="3"/>
  <c r="D46" i="3"/>
  <c r="B47" i="3"/>
  <c r="D47" i="3" s="1"/>
  <c r="C47" i="3"/>
  <c r="B48" i="3"/>
  <c r="C48" i="3"/>
  <c r="D48" i="3"/>
  <c r="B49" i="3"/>
  <c r="D49" i="3" s="1"/>
  <c r="C49" i="3"/>
  <c r="B50" i="3"/>
  <c r="D50" i="3" s="1"/>
  <c r="C50" i="3"/>
  <c r="B51" i="3"/>
  <c r="C51" i="3"/>
  <c r="D51" i="3"/>
  <c r="B52" i="3"/>
  <c r="D52" i="3" s="1"/>
  <c r="C52" i="3"/>
  <c r="B53" i="3"/>
  <c r="C53" i="3"/>
  <c r="D53" i="3"/>
  <c r="B54" i="3"/>
  <c r="D54" i="3" s="1"/>
  <c r="C54" i="3"/>
  <c r="B55" i="3"/>
  <c r="C55" i="3"/>
  <c r="D55" i="3"/>
  <c r="B56" i="3"/>
  <c r="C56" i="3"/>
  <c r="D56" i="3"/>
  <c r="B57" i="3"/>
  <c r="C57" i="3"/>
  <c r="D57" i="3"/>
  <c r="B58" i="3"/>
  <c r="D58" i="3" s="1"/>
  <c r="C58" i="3"/>
  <c r="B59" i="3"/>
  <c r="D59" i="3" s="1"/>
  <c r="C59" i="3"/>
  <c r="B60" i="3"/>
  <c r="D60" i="3" s="1"/>
  <c r="C60" i="3"/>
  <c r="B61" i="3"/>
  <c r="C61" i="3"/>
  <c r="B62" i="3"/>
  <c r="C62" i="3"/>
  <c r="D62" i="3"/>
  <c r="B63" i="3"/>
  <c r="D63" i="3" s="1"/>
  <c r="C63" i="3"/>
  <c r="B64" i="3"/>
  <c r="C64" i="3"/>
  <c r="D64" i="3"/>
  <c r="B65" i="3"/>
  <c r="D65" i="3" s="1"/>
  <c r="C65" i="3"/>
  <c r="B66" i="3"/>
  <c r="C66" i="3"/>
  <c r="D66" i="3"/>
  <c r="B67" i="3"/>
  <c r="C67" i="3"/>
  <c r="D67" i="3"/>
  <c r="B68" i="3"/>
  <c r="D68" i="3" s="1"/>
  <c r="C68" i="3"/>
  <c r="B69" i="3"/>
  <c r="C69" i="3"/>
  <c r="D69" i="3"/>
  <c r="B70" i="3"/>
  <c r="D70" i="3" s="1"/>
  <c r="C70" i="3"/>
  <c r="B71" i="3"/>
  <c r="C71" i="3"/>
  <c r="D71" i="3"/>
  <c r="B72" i="3"/>
  <c r="C72" i="3"/>
  <c r="D72" i="3"/>
  <c r="B73" i="3"/>
  <c r="C73" i="3"/>
  <c r="D73" i="3"/>
  <c r="B74" i="3"/>
  <c r="D74" i="3" s="1"/>
  <c r="C74" i="3"/>
  <c r="B75" i="3"/>
  <c r="D75" i="3" s="1"/>
  <c r="C75" i="3"/>
  <c r="B76" i="3"/>
  <c r="D76" i="3" s="1"/>
  <c r="C76" i="3"/>
  <c r="B77" i="3"/>
  <c r="C77" i="3"/>
  <c r="D77" i="3"/>
  <c r="B78" i="3"/>
  <c r="C78" i="3"/>
  <c r="D78" i="3"/>
  <c r="B79" i="3"/>
  <c r="D79" i="3" s="1"/>
  <c r="C79" i="3"/>
  <c r="B80" i="3"/>
  <c r="C80" i="3"/>
  <c r="D80" i="3"/>
  <c r="B81" i="3"/>
  <c r="D81" i="3" s="1"/>
  <c r="C81" i="3"/>
  <c r="B82" i="3"/>
  <c r="C82" i="3"/>
  <c r="D82" i="3"/>
  <c r="B83" i="3"/>
  <c r="C83" i="3"/>
  <c r="D83" i="3"/>
  <c r="B84" i="3"/>
  <c r="D84" i="3" s="1"/>
  <c r="C84" i="3"/>
  <c r="B85" i="3"/>
  <c r="C85" i="3"/>
  <c r="D85" i="3"/>
  <c r="B86" i="3"/>
  <c r="D86" i="3" s="1"/>
  <c r="C86" i="3"/>
  <c r="B87" i="3"/>
  <c r="C87" i="3"/>
  <c r="D87" i="3"/>
  <c r="B88" i="3"/>
  <c r="C88" i="3"/>
  <c r="D88" i="3"/>
  <c r="B89" i="3"/>
  <c r="C89" i="3"/>
  <c r="D89" i="3"/>
  <c r="B90" i="3"/>
  <c r="D90" i="3" s="1"/>
  <c r="C90" i="3"/>
  <c r="B91" i="3"/>
  <c r="D91" i="3" s="1"/>
  <c r="C91" i="3"/>
  <c r="B92" i="3"/>
  <c r="D92" i="3" s="1"/>
  <c r="C92" i="3"/>
  <c r="B93" i="3"/>
  <c r="C93" i="3"/>
  <c r="D93" i="3"/>
  <c r="B94" i="3"/>
  <c r="C94" i="3"/>
  <c r="D94" i="3"/>
  <c r="B95" i="3"/>
  <c r="D95" i="3" s="1"/>
  <c r="C95" i="3"/>
  <c r="B96" i="3"/>
  <c r="C96" i="3"/>
  <c r="D96" i="3"/>
  <c r="B97" i="3"/>
  <c r="D97" i="3" s="1"/>
  <c r="C97" i="3"/>
  <c r="B98" i="3"/>
  <c r="C98" i="3"/>
  <c r="D98" i="3"/>
  <c r="B99" i="3"/>
  <c r="C99" i="3"/>
  <c r="D99" i="3"/>
  <c r="B100" i="3"/>
  <c r="D100" i="3" s="1"/>
  <c r="C100" i="3"/>
  <c r="B101" i="3"/>
  <c r="C101" i="3"/>
  <c r="D101" i="3"/>
  <c r="B102" i="3"/>
  <c r="C102" i="3"/>
  <c r="B103" i="3"/>
  <c r="C103" i="3"/>
  <c r="D103" i="3"/>
  <c r="B104" i="3"/>
  <c r="C104" i="3"/>
  <c r="D104" i="3"/>
  <c r="B105" i="3"/>
  <c r="C105" i="3"/>
  <c r="D105" i="3"/>
  <c r="B106" i="3"/>
  <c r="D106" i="3" s="1"/>
  <c r="C106" i="3"/>
  <c r="B107" i="3"/>
  <c r="D107" i="3" s="1"/>
  <c r="C107" i="3"/>
  <c r="B108" i="3"/>
  <c r="D108" i="3" s="1"/>
  <c r="C108" i="3"/>
  <c r="B109" i="3"/>
  <c r="C109" i="3"/>
  <c r="D109" i="3"/>
  <c r="B110" i="3"/>
  <c r="C110" i="3"/>
  <c r="D110" i="3"/>
  <c r="B111" i="3"/>
  <c r="D111" i="3" s="1"/>
  <c r="C111" i="3"/>
  <c r="B112" i="3"/>
  <c r="C112" i="3"/>
  <c r="D112" i="3"/>
  <c r="B113" i="3"/>
  <c r="D113" i="3" s="1"/>
  <c r="C113" i="3"/>
  <c r="B114" i="3"/>
  <c r="C114" i="3"/>
  <c r="D114" i="3"/>
  <c r="B115" i="3"/>
  <c r="C115" i="3"/>
  <c r="D115" i="3"/>
  <c r="B116" i="3"/>
  <c r="D116" i="3" s="1"/>
  <c r="C116" i="3"/>
  <c r="B117" i="3"/>
  <c r="C117" i="3"/>
  <c r="D117" i="3"/>
  <c r="B118" i="3"/>
  <c r="C118" i="3"/>
  <c r="B119" i="3"/>
  <c r="C119" i="3"/>
  <c r="D119" i="3"/>
  <c r="B120" i="3"/>
  <c r="C120" i="3"/>
  <c r="D120" i="3"/>
  <c r="B121" i="3"/>
  <c r="C121" i="3"/>
  <c r="D121" i="3"/>
  <c r="B122" i="3"/>
  <c r="D122" i="3" s="1"/>
  <c r="C122" i="3"/>
  <c r="B123" i="3"/>
  <c r="D123" i="3" s="1"/>
  <c r="C123" i="3"/>
  <c r="B124" i="3"/>
  <c r="D124" i="3" s="1"/>
  <c r="C124" i="3"/>
  <c r="B125" i="3"/>
  <c r="C125" i="3"/>
  <c r="D125" i="3"/>
  <c r="B126" i="3"/>
  <c r="C126" i="3"/>
  <c r="D126" i="3"/>
  <c r="B127" i="3"/>
  <c r="D127" i="3" s="1"/>
  <c r="C127" i="3"/>
  <c r="B128" i="3"/>
  <c r="C128" i="3"/>
  <c r="D128" i="3"/>
  <c r="B129" i="3"/>
  <c r="D129" i="3" s="1"/>
  <c r="C129" i="3"/>
  <c r="B130" i="3"/>
  <c r="C130" i="3"/>
  <c r="D130" i="3"/>
  <c r="B131" i="3"/>
  <c r="C131" i="3"/>
  <c r="D131" i="3"/>
  <c r="B132" i="3"/>
  <c r="D132" i="3" s="1"/>
  <c r="C132" i="3"/>
  <c r="B133" i="3"/>
  <c r="C133" i="3"/>
  <c r="D133" i="3"/>
  <c r="B134" i="3"/>
  <c r="D134" i="3" s="1"/>
  <c r="C134" i="3"/>
  <c r="B135" i="3"/>
  <c r="C135" i="3"/>
  <c r="D135" i="3"/>
  <c r="B136" i="3"/>
  <c r="C136" i="3"/>
  <c r="B137" i="3"/>
  <c r="C137" i="3"/>
  <c r="D137" i="3"/>
  <c r="B138" i="3"/>
  <c r="D138" i="3" s="1"/>
  <c r="C138" i="3"/>
  <c r="B139" i="3"/>
  <c r="D139" i="3" s="1"/>
  <c r="C139" i="3"/>
  <c r="B140" i="3"/>
  <c r="D140" i="3" s="1"/>
  <c r="C140" i="3"/>
  <c r="B141" i="3"/>
  <c r="C141" i="3"/>
  <c r="D141" i="3"/>
  <c r="B142" i="3"/>
  <c r="C142" i="3"/>
  <c r="D142" i="3"/>
  <c r="B143" i="3"/>
  <c r="C143" i="3"/>
  <c r="B144" i="3"/>
  <c r="C144" i="3"/>
  <c r="D144" i="3"/>
  <c r="B145" i="3"/>
  <c r="C145" i="3"/>
  <c r="B146" i="3"/>
  <c r="C146" i="3"/>
  <c r="D146" i="3"/>
  <c r="B147" i="3"/>
  <c r="C147" i="3"/>
  <c r="D147" i="3"/>
  <c r="B148" i="3"/>
  <c r="D148" i="3" s="1"/>
  <c r="C148" i="3"/>
  <c r="B149" i="3"/>
  <c r="C149" i="3"/>
  <c r="D149" i="3"/>
  <c r="B150" i="3"/>
  <c r="C150" i="3"/>
  <c r="B151" i="3"/>
  <c r="C151" i="3"/>
  <c r="D151" i="3"/>
  <c r="B152" i="3"/>
  <c r="C152" i="3"/>
  <c r="D152" i="3"/>
  <c r="B153" i="3"/>
  <c r="C153" i="3"/>
  <c r="D153" i="3"/>
  <c r="B154" i="3"/>
  <c r="D154" i="3" s="1"/>
  <c r="C154" i="3"/>
  <c r="B155" i="3"/>
  <c r="D155" i="3" s="1"/>
  <c r="C155" i="3"/>
  <c r="B156" i="3"/>
  <c r="D156" i="3" s="1"/>
  <c r="C156" i="3"/>
  <c r="B157" i="3"/>
  <c r="C157" i="3"/>
  <c r="D157" i="3"/>
  <c r="B158" i="3"/>
  <c r="C158" i="3"/>
  <c r="B159" i="3"/>
  <c r="D159" i="3" s="1"/>
  <c r="C159" i="3"/>
  <c r="B160" i="3"/>
  <c r="C160" i="3"/>
  <c r="B161" i="3"/>
  <c r="D161" i="3" s="1"/>
  <c r="C161" i="3"/>
  <c r="B162" i="3"/>
  <c r="C162" i="3"/>
  <c r="D162" i="3"/>
  <c r="B163" i="3"/>
  <c r="C163" i="3"/>
  <c r="D163" i="3"/>
  <c r="B164" i="3"/>
  <c r="D164" i="3" s="1"/>
  <c r="C164" i="3"/>
  <c r="B165" i="3"/>
  <c r="C165" i="3"/>
  <c r="D165" i="3"/>
  <c r="B166" i="3"/>
  <c r="D166" i="3" s="1"/>
  <c r="C166" i="3"/>
  <c r="B167" i="3"/>
  <c r="C167" i="3"/>
  <c r="D167" i="3"/>
  <c r="B168" i="3"/>
  <c r="C168" i="3"/>
  <c r="D168" i="3"/>
  <c r="B169" i="3"/>
  <c r="C169" i="3"/>
  <c r="D169" i="3"/>
  <c r="B170" i="3"/>
  <c r="C170" i="3"/>
  <c r="B171" i="3"/>
  <c r="D171" i="3" s="1"/>
  <c r="C171" i="3"/>
  <c r="D2" i="3"/>
  <c r="C2" i="3"/>
  <c r="B2" i="3"/>
  <c r="O9" i="1"/>
  <c r="P9" i="1"/>
  <c r="Q9" i="1"/>
  <c r="O10" i="1"/>
  <c r="P11" i="1" s="1"/>
  <c r="Q11" i="1" s="1"/>
  <c r="P10" i="1"/>
  <c r="Q10" i="1" s="1"/>
  <c r="O11" i="1"/>
  <c r="O12" i="1"/>
  <c r="P12" i="1" s="1"/>
  <c r="O13" i="1"/>
  <c r="P13" i="1"/>
  <c r="O14" i="1"/>
  <c r="P14" i="1" s="1"/>
  <c r="Q14" i="1" s="1"/>
  <c r="O15" i="1"/>
  <c r="O16" i="1"/>
  <c r="P16" i="1" s="1"/>
  <c r="O17" i="1"/>
  <c r="O18" i="1"/>
  <c r="P18" i="1"/>
  <c r="O19" i="1"/>
  <c r="P19" i="1"/>
  <c r="Q19" i="1" s="1"/>
  <c r="Q6" i="1"/>
  <c r="Q7" i="1"/>
  <c r="Q8" i="1"/>
  <c r="Q5" i="1"/>
  <c r="P5" i="1"/>
  <c r="P6" i="1"/>
  <c r="P7" i="1"/>
  <c r="P8" i="1"/>
  <c r="P4" i="1"/>
  <c r="O4" i="1"/>
  <c r="O5" i="1"/>
  <c r="O6" i="1"/>
  <c r="O7" i="1"/>
  <c r="O8" i="1"/>
  <c r="O3" i="1"/>
  <c r="N50" i="6" l="1"/>
  <c r="N7" i="6"/>
  <c r="N6" i="6"/>
  <c r="N18" i="6"/>
  <c r="N82" i="6"/>
  <c r="N116" i="6"/>
  <c r="N80" i="6"/>
  <c r="N36" i="6"/>
  <c r="N52" i="6"/>
  <c r="N76" i="6"/>
  <c r="N16" i="6"/>
  <c r="N63" i="6"/>
  <c r="N96" i="6"/>
  <c r="N34" i="6"/>
  <c r="N95" i="6"/>
  <c r="N45" i="6"/>
  <c r="N75" i="6"/>
  <c r="N59" i="6"/>
  <c r="N4" i="6"/>
  <c r="N27" i="6"/>
  <c r="N71" i="6"/>
  <c r="N55" i="6"/>
  <c r="N48" i="6"/>
  <c r="N9" i="6"/>
  <c r="N78" i="6"/>
  <c r="N124" i="6"/>
  <c r="N93" i="6"/>
  <c r="N77" i="6"/>
  <c r="N39" i="6"/>
  <c r="N100" i="6"/>
  <c r="N92" i="6"/>
  <c r="N107" i="6"/>
  <c r="N68" i="6"/>
  <c r="N60" i="6"/>
  <c r="N29" i="6"/>
  <c r="N114" i="6"/>
  <c r="N46" i="6"/>
  <c r="N43" i="6"/>
  <c r="N20" i="6"/>
  <c r="N120" i="6"/>
  <c r="N105" i="6"/>
  <c r="N89" i="6"/>
  <c r="N35" i="6"/>
  <c r="N12" i="6"/>
  <c r="N73" i="6"/>
  <c r="N11" i="6"/>
  <c r="N103" i="6"/>
  <c r="N87" i="6"/>
  <c r="N41" i="6"/>
  <c r="N126" i="6"/>
  <c r="N81" i="6"/>
  <c r="N74" i="6"/>
  <c r="N125" i="6"/>
  <c r="N88" i="6"/>
  <c r="N66" i="6"/>
  <c r="N38" i="6"/>
  <c r="N31" i="6"/>
  <c r="N23" i="6"/>
  <c r="N2" i="6"/>
  <c r="N102" i="6"/>
  <c r="N58" i="6"/>
  <c r="N51" i="6"/>
  <c r="N37" i="6"/>
  <c r="N30" i="6"/>
  <c r="N79" i="6"/>
  <c r="N72" i="6"/>
  <c r="N57" i="6"/>
  <c r="N123" i="6"/>
  <c r="N64" i="6"/>
  <c r="N28" i="6"/>
  <c r="N91" i="6"/>
  <c r="N84" i="6"/>
  <c r="N98" i="6"/>
  <c r="N121" i="6"/>
  <c r="N128" i="6"/>
  <c r="N54" i="6"/>
  <c r="N47" i="6"/>
  <c r="N40" i="6"/>
  <c r="N25" i="6"/>
  <c r="N127" i="6"/>
  <c r="N112" i="6"/>
  <c r="N32" i="6"/>
  <c r="N17" i="6"/>
  <c r="N10" i="6"/>
  <c r="N3" i="6"/>
  <c r="N70" i="6"/>
  <c r="N111" i="6"/>
  <c r="N104" i="6"/>
  <c r="N97" i="6"/>
  <c r="N90" i="6"/>
  <c r="N83" i="6"/>
  <c r="N56" i="6"/>
  <c r="N42" i="6"/>
  <c r="N22" i="6"/>
  <c r="N8" i="6"/>
  <c r="N118" i="6"/>
  <c r="N117" i="6"/>
  <c r="N69" i="6"/>
  <c r="N49" i="6"/>
  <c r="N15" i="6"/>
  <c r="N110" i="6"/>
  <c r="N62" i="6"/>
  <c r="N21" i="6"/>
  <c r="N109" i="6"/>
  <c r="N61" i="6"/>
  <c r="N14" i="6"/>
  <c r="N13" i="6"/>
  <c r="N129" i="6"/>
  <c r="N122" i="6"/>
  <c r="N115" i="6"/>
  <c r="N101" i="6"/>
  <c r="N67" i="6"/>
  <c r="N33" i="6"/>
  <c r="N26" i="6"/>
  <c r="N94" i="6"/>
  <c r="N53" i="6"/>
  <c r="N19" i="6"/>
  <c r="N5" i="6"/>
  <c r="N86" i="6"/>
  <c r="N113" i="6"/>
  <c r="N106" i="6"/>
  <c r="N99" i="6"/>
  <c r="N85" i="6"/>
  <c r="N65" i="6"/>
  <c r="N44" i="6"/>
  <c r="N24" i="6"/>
  <c r="N119" i="6"/>
  <c r="H65" i="6"/>
  <c r="I65" i="6" s="1"/>
  <c r="H4" i="6"/>
  <c r="I4" i="6" s="1"/>
  <c r="C149" i="6"/>
  <c r="H149" i="6"/>
  <c r="I149" i="6" s="1"/>
  <c r="C100" i="6"/>
  <c r="H100" i="6"/>
  <c r="I100" i="6" s="1"/>
  <c r="C51" i="6"/>
  <c r="H51" i="6"/>
  <c r="I51" i="6" s="1"/>
  <c r="C42" i="6"/>
  <c r="H42" i="6"/>
  <c r="I42" i="6" s="1"/>
  <c r="H49" i="6"/>
  <c r="I49" i="6" s="1"/>
  <c r="C49" i="6"/>
  <c r="C2" i="6"/>
  <c r="H2" i="6"/>
  <c r="I2" i="6" s="1"/>
  <c r="C25" i="6"/>
  <c r="H25" i="6"/>
  <c r="I25" i="6" s="1"/>
  <c r="C24" i="6"/>
  <c r="H24" i="6"/>
  <c r="I24" i="6" s="1"/>
  <c r="H88" i="6"/>
  <c r="I88" i="6" s="1"/>
  <c r="H135" i="6"/>
  <c r="I135" i="6" s="1"/>
  <c r="H166" i="6"/>
  <c r="I166" i="6" s="1"/>
  <c r="C166" i="6"/>
  <c r="C85" i="6"/>
  <c r="H85" i="6"/>
  <c r="I85" i="6" s="1"/>
  <c r="C81" i="6"/>
  <c r="H81" i="6"/>
  <c r="I81" i="6" s="1"/>
  <c r="C122" i="6"/>
  <c r="H122" i="6"/>
  <c r="I122" i="6" s="1"/>
  <c r="H147" i="6"/>
  <c r="I147" i="6" s="1"/>
  <c r="C147" i="6"/>
  <c r="C137" i="6"/>
  <c r="H137" i="6"/>
  <c r="I137" i="6" s="1"/>
  <c r="H138" i="6"/>
  <c r="I138" i="6" s="1"/>
  <c r="C138" i="6"/>
  <c r="H16" i="6"/>
  <c r="I16" i="6" s="1"/>
  <c r="C16" i="6"/>
  <c r="H91" i="6"/>
  <c r="I91" i="6" s="1"/>
  <c r="C91" i="6"/>
  <c r="C124" i="6"/>
  <c r="H124" i="6"/>
  <c r="I124" i="6" s="1"/>
  <c r="H101" i="6"/>
  <c r="I101" i="6" s="1"/>
  <c r="C101" i="6"/>
  <c r="H63" i="6"/>
  <c r="I63" i="6" s="1"/>
  <c r="C63" i="6"/>
  <c r="H5" i="6"/>
  <c r="I5" i="6" s="1"/>
  <c r="C5" i="6"/>
  <c r="H62" i="6"/>
  <c r="I62" i="6" s="1"/>
  <c r="C62" i="6"/>
  <c r="H146" i="6"/>
  <c r="I146" i="6" s="1"/>
  <c r="C146" i="6"/>
  <c r="H45" i="6"/>
  <c r="I45" i="6" s="1"/>
  <c r="C45" i="6"/>
  <c r="C11" i="6"/>
  <c r="H11" i="6"/>
  <c r="I11" i="6" s="1"/>
  <c r="C165" i="6"/>
  <c r="H165" i="6"/>
  <c r="I165" i="6" s="1"/>
  <c r="H113" i="6"/>
  <c r="I113" i="6" s="1"/>
  <c r="C113" i="6"/>
  <c r="H82" i="6"/>
  <c r="I82" i="6" s="1"/>
  <c r="C82" i="6"/>
  <c r="C67" i="6"/>
  <c r="H67" i="6"/>
  <c r="I67" i="6" s="1"/>
  <c r="C3" i="6"/>
  <c r="H3" i="6"/>
  <c r="I3" i="6" s="1"/>
  <c r="H151" i="6"/>
  <c r="I151" i="6" s="1"/>
  <c r="C151" i="6"/>
  <c r="C110" i="6"/>
  <c r="H110" i="6"/>
  <c r="I110" i="6" s="1"/>
  <c r="H131" i="6"/>
  <c r="I131" i="6" s="1"/>
  <c r="C131" i="6"/>
  <c r="C103" i="6"/>
  <c r="H103" i="6"/>
  <c r="I103" i="6" s="1"/>
  <c r="H35" i="6"/>
  <c r="I35" i="6" s="1"/>
  <c r="C35" i="6"/>
  <c r="H66" i="6"/>
  <c r="I66" i="6" s="1"/>
  <c r="C66" i="6"/>
  <c r="H23" i="6"/>
  <c r="I23" i="6" s="1"/>
  <c r="C23" i="6"/>
  <c r="C117" i="6"/>
  <c r="H117" i="6"/>
  <c r="I117" i="6" s="1"/>
  <c r="C79" i="6"/>
  <c r="H79" i="6"/>
  <c r="I79" i="6" s="1"/>
  <c r="H55" i="6"/>
  <c r="I55" i="6" s="1"/>
  <c r="C55" i="6"/>
  <c r="H21" i="6"/>
  <c r="I21" i="6" s="1"/>
  <c r="C21" i="6"/>
  <c r="H111" i="6"/>
  <c r="I111" i="6" s="1"/>
  <c r="C111" i="6"/>
  <c r="H72" i="6"/>
  <c r="I72" i="6" s="1"/>
  <c r="C72" i="6"/>
  <c r="H119" i="6"/>
  <c r="I119" i="6" s="1"/>
  <c r="C119" i="6"/>
  <c r="C128" i="6"/>
  <c r="H128" i="6"/>
  <c r="I128" i="6" s="1"/>
  <c r="H70" i="6"/>
  <c r="I70" i="6" s="1"/>
  <c r="C70" i="6"/>
  <c r="H38" i="6"/>
  <c r="I38" i="6" s="1"/>
  <c r="C38" i="6"/>
  <c r="C107" i="6"/>
  <c r="H107" i="6"/>
  <c r="I107" i="6" s="1"/>
  <c r="H83" i="6"/>
  <c r="I83" i="6" s="1"/>
  <c r="C83" i="6"/>
  <c r="H143" i="6"/>
  <c r="I143" i="6" s="1"/>
  <c r="C143" i="6"/>
  <c r="C52" i="6"/>
  <c r="H52" i="6"/>
  <c r="I52" i="6" s="1"/>
  <c r="C6" i="6"/>
  <c r="H6" i="6"/>
  <c r="I6" i="6" s="1"/>
  <c r="H162" i="6"/>
  <c r="I162" i="6" s="1"/>
  <c r="C162" i="6"/>
  <c r="C154" i="6"/>
  <c r="H154" i="6"/>
  <c r="I154" i="6" s="1"/>
  <c r="H60" i="6"/>
  <c r="I60" i="6" s="1"/>
  <c r="C60" i="6"/>
  <c r="C86" i="6"/>
  <c r="H86" i="6"/>
  <c r="I86" i="6" s="1"/>
  <c r="C102" i="6"/>
  <c r="C17" i="6"/>
  <c r="C145" i="6"/>
  <c r="C98" i="6"/>
  <c r="C126" i="6"/>
  <c r="C44" i="6"/>
  <c r="C160" i="6"/>
  <c r="C78" i="6"/>
  <c r="C64" i="6"/>
  <c r="C9" i="6"/>
  <c r="H150" i="6"/>
  <c r="I150" i="6" s="1"/>
  <c r="H33" i="6"/>
  <c r="I33" i="6" s="1"/>
  <c r="C121" i="6"/>
  <c r="C71" i="6"/>
  <c r="C39" i="6"/>
  <c r="C7" i="6"/>
  <c r="H58" i="6"/>
  <c r="I58" i="6" s="1"/>
  <c r="C167" i="6"/>
  <c r="C99" i="6"/>
  <c r="C87" i="6"/>
  <c r="C73" i="6"/>
  <c r="H74" i="6"/>
  <c r="I74" i="6" s="1"/>
  <c r="C56" i="6"/>
  <c r="C116" i="6"/>
  <c r="C164" i="6"/>
  <c r="C148" i="6"/>
  <c r="C57" i="6"/>
  <c r="C120" i="6"/>
  <c r="C93" i="6"/>
  <c r="C43" i="6"/>
  <c r="C163" i="6"/>
  <c r="C29" i="6"/>
  <c r="H118" i="6"/>
  <c r="I118" i="6" s="1"/>
  <c r="H127" i="6"/>
  <c r="I127" i="6" s="1"/>
  <c r="H77" i="6"/>
  <c r="I77" i="6" s="1"/>
  <c r="H169" i="6"/>
  <c r="I169" i="6" s="1"/>
  <c r="H48" i="6"/>
  <c r="I48" i="6" s="1"/>
  <c r="H130" i="6"/>
  <c r="I130" i="6" s="1"/>
  <c r="H92" i="6"/>
  <c r="I92" i="6" s="1"/>
  <c r="H59" i="6"/>
  <c r="I59" i="6" s="1"/>
  <c r="H14" i="6"/>
  <c r="I14" i="6" s="1"/>
  <c r="H156" i="6"/>
  <c r="I156" i="6" s="1"/>
  <c r="H53" i="6"/>
  <c r="I53" i="6" s="1"/>
  <c r="H129" i="6"/>
  <c r="I129" i="6" s="1"/>
  <c r="H105" i="6"/>
  <c r="I105" i="6" s="1"/>
  <c r="H47" i="6"/>
  <c r="I47" i="6" s="1"/>
  <c r="H28" i="6"/>
  <c r="I28" i="6" s="1"/>
  <c r="H168" i="6"/>
  <c r="I168" i="6" s="1"/>
  <c r="H8" i="6"/>
  <c r="I8" i="6" s="1"/>
  <c r="H30" i="6"/>
  <c r="I30" i="6" s="1"/>
  <c r="H26" i="6"/>
  <c r="I26" i="6" s="1"/>
  <c r="H109" i="6"/>
  <c r="I109" i="6" s="1"/>
  <c r="H123" i="6"/>
  <c r="I123" i="6" s="1"/>
  <c r="H18" i="6"/>
  <c r="I18" i="6" s="1"/>
  <c r="H13" i="6"/>
  <c r="I13" i="6" s="1"/>
  <c r="H155" i="6"/>
  <c r="I155" i="6" s="1"/>
  <c r="H142" i="6"/>
  <c r="I142" i="6" s="1"/>
  <c r="H132" i="6"/>
  <c r="I132" i="6" s="1"/>
  <c r="H41" i="6"/>
  <c r="I41" i="6" s="1"/>
  <c r="H97" i="6"/>
  <c r="I97" i="6" s="1"/>
  <c r="H19" i="6"/>
  <c r="I19" i="6" s="1"/>
  <c r="H15" i="6"/>
  <c r="I15" i="6" s="1"/>
  <c r="H32" i="6"/>
  <c r="I32" i="6" s="1"/>
  <c r="H141" i="6"/>
  <c r="I141" i="6" s="1"/>
  <c r="H36" i="6"/>
  <c r="I36" i="6" s="1"/>
  <c r="H61" i="6"/>
  <c r="I61" i="6" s="1"/>
  <c r="H108" i="6"/>
  <c r="I108" i="6" s="1"/>
  <c r="H10" i="6"/>
  <c r="I10" i="6" s="1"/>
  <c r="H157" i="6"/>
  <c r="I157" i="6" s="1"/>
  <c r="H153" i="6"/>
  <c r="I153" i="6" s="1"/>
  <c r="H94" i="6"/>
  <c r="I94" i="6" s="1"/>
  <c r="H96" i="6"/>
  <c r="I96" i="6" s="1"/>
  <c r="H46" i="6"/>
  <c r="I46" i="6" s="1"/>
  <c r="H50" i="6"/>
  <c r="I50" i="6" s="1"/>
  <c r="H140" i="6"/>
  <c r="I140" i="6" s="1"/>
  <c r="H136" i="6"/>
  <c r="I136" i="6" s="1"/>
  <c r="H40" i="6"/>
  <c r="I40" i="6" s="1"/>
  <c r="H68" i="6"/>
  <c r="I68" i="6" s="1"/>
  <c r="H31" i="6"/>
  <c r="I31" i="6" s="1"/>
  <c r="H152" i="6"/>
  <c r="I152" i="6" s="1"/>
  <c r="H106" i="6"/>
  <c r="I106" i="6" s="1"/>
  <c r="H112" i="6"/>
  <c r="I112" i="6" s="1"/>
  <c r="H22" i="6"/>
  <c r="I22" i="6" s="1"/>
  <c r="H12" i="6"/>
  <c r="I12" i="6" s="1"/>
  <c r="H158" i="6"/>
  <c r="I158" i="6" s="1"/>
  <c r="H139" i="6"/>
  <c r="I139" i="6" s="1"/>
  <c r="H27" i="6"/>
  <c r="I27" i="6" s="1"/>
  <c r="H76" i="6"/>
  <c r="I76" i="6" s="1"/>
  <c r="H95" i="6"/>
  <c r="I95" i="6" s="1"/>
  <c r="H125" i="6"/>
  <c r="I125" i="6" s="1"/>
  <c r="H69" i="6"/>
  <c r="I69" i="6" s="1"/>
  <c r="H134" i="6"/>
  <c r="I134" i="6" s="1"/>
  <c r="H114" i="6"/>
  <c r="I114" i="6" s="1"/>
  <c r="H37" i="6"/>
  <c r="I37" i="6" s="1"/>
  <c r="H84" i="6"/>
  <c r="I84" i="6" s="1"/>
  <c r="H133" i="6"/>
  <c r="I133" i="6" s="1"/>
  <c r="H20" i="6"/>
  <c r="I20" i="6" s="1"/>
  <c r="H115" i="6"/>
  <c r="I115" i="6" s="1"/>
  <c r="H104" i="6"/>
  <c r="I104" i="6" s="1"/>
  <c r="H161" i="6"/>
  <c r="I161" i="6" s="1"/>
  <c r="H144" i="6"/>
  <c r="I144" i="6" s="1"/>
  <c r="H89" i="6"/>
  <c r="I89" i="6" s="1"/>
  <c r="H80" i="6"/>
  <c r="I80" i="6" s="1"/>
  <c r="H34" i="6"/>
  <c r="I34" i="6" s="1"/>
  <c r="H54" i="6"/>
  <c r="I54" i="6" s="1"/>
  <c r="H90" i="6"/>
  <c r="I90" i="6" s="1"/>
  <c r="H75" i="6"/>
  <c r="I75" i="6" s="1"/>
  <c r="H159" i="6"/>
  <c r="I159" i="6" s="1"/>
  <c r="Q12" i="1"/>
  <c r="Q13" i="1"/>
  <c r="P17" i="1"/>
  <c r="P15" i="1"/>
  <c r="Q15" i="1" s="1"/>
  <c r="E18" i="2"/>
  <c r="D6" i="2"/>
  <c r="D9" i="2"/>
  <c r="E9" i="2" s="1"/>
  <c r="D13" i="2"/>
  <c r="E13" i="2" s="1"/>
  <c r="D14" i="2"/>
  <c r="E14" i="2" s="1"/>
  <c r="D17" i="2"/>
  <c r="D18" i="2"/>
  <c r="D22" i="2"/>
  <c r="C3" i="2"/>
  <c r="D3" i="2" s="1"/>
  <c r="C4" i="2"/>
  <c r="D5" i="2" s="1"/>
  <c r="C5" i="2"/>
  <c r="C6" i="2"/>
  <c r="C7" i="2"/>
  <c r="D7" i="2" s="1"/>
  <c r="E7" i="2" s="1"/>
  <c r="C8" i="2"/>
  <c r="D8" i="2" s="1"/>
  <c r="E8" i="2" s="1"/>
  <c r="C9" i="2"/>
  <c r="C10" i="2"/>
  <c r="D10" i="2" s="1"/>
  <c r="E10" i="2" s="1"/>
  <c r="C11" i="2"/>
  <c r="D11" i="2" s="1"/>
  <c r="E11" i="2" s="1"/>
  <c r="C12" i="2"/>
  <c r="D12" i="2" s="1"/>
  <c r="C13" i="2"/>
  <c r="C14" i="2"/>
  <c r="C15" i="2"/>
  <c r="D15" i="2" s="1"/>
  <c r="E15" i="2" s="1"/>
  <c r="C16" i="2"/>
  <c r="D16" i="2" s="1"/>
  <c r="E16" i="2" s="1"/>
  <c r="C17" i="2"/>
  <c r="C18" i="2"/>
  <c r="C19" i="2"/>
  <c r="D19" i="2" s="1"/>
  <c r="E19" i="2" s="1"/>
  <c r="C20" i="2"/>
  <c r="D20" i="2" s="1"/>
  <c r="E20" i="2" s="1"/>
  <c r="C21" i="2"/>
  <c r="C22" i="2"/>
  <c r="C23" i="2"/>
  <c r="D23" i="2" s="1"/>
  <c r="E23" i="2" s="1"/>
  <c r="C24" i="2"/>
  <c r="D24" i="2" s="1"/>
  <c r="C25" i="2"/>
  <c r="C2" i="2"/>
  <c r="I17" i="1"/>
  <c r="C5" i="1"/>
  <c r="E5" i="1" s="1"/>
  <c r="C6" i="1"/>
  <c r="C7" i="1"/>
  <c r="C8" i="1"/>
  <c r="E8" i="1" s="1"/>
  <c r="C9" i="1"/>
  <c r="C10" i="1"/>
  <c r="C11" i="1"/>
  <c r="C12" i="1"/>
  <c r="C13" i="1"/>
  <c r="E13" i="1" s="1"/>
  <c r="C14" i="1"/>
  <c r="C15" i="1"/>
  <c r="C16" i="1"/>
  <c r="B16" i="1" s="1"/>
  <c r="C17" i="1"/>
  <c r="C18" i="1"/>
  <c r="E18" i="1" s="1"/>
  <c r="C19" i="1"/>
  <c r="E19" i="1" s="1"/>
  <c r="C20" i="1"/>
  <c r="E20" i="1" s="1"/>
  <c r="C21" i="1"/>
  <c r="C22" i="1"/>
  <c r="C4" i="1"/>
  <c r="C3" i="1"/>
  <c r="E3" i="1" s="1"/>
  <c r="Q17" i="1" l="1"/>
  <c r="Q18" i="1"/>
  <c r="Q16" i="1"/>
  <c r="E5" i="2"/>
  <c r="E6" i="2"/>
  <c r="E12" i="2"/>
  <c r="E17" i="2"/>
  <c r="D21" i="2"/>
  <c r="D4" i="2"/>
  <c r="E4" i="2" s="1"/>
  <c r="B11" i="1"/>
  <c r="B9" i="1"/>
  <c r="B14" i="1"/>
  <c r="F19" i="1"/>
  <c r="B22" i="1"/>
  <c r="B10" i="1"/>
  <c r="B12" i="1"/>
  <c r="B4" i="1"/>
  <c r="F20" i="1"/>
  <c r="B21" i="1"/>
  <c r="B13" i="1"/>
  <c r="B15" i="1"/>
  <c r="B6" i="1"/>
  <c r="B7" i="1"/>
  <c r="E15" i="1"/>
  <c r="E14" i="1"/>
  <c r="F14" i="1" s="1"/>
  <c r="E12" i="1"/>
  <c r="E11" i="1"/>
  <c r="E10" i="1"/>
  <c r="E9" i="1"/>
  <c r="F9" i="1" s="1"/>
  <c r="B5" i="1"/>
  <c r="B20" i="1"/>
  <c r="B19" i="1"/>
  <c r="B18" i="1"/>
  <c r="E7" i="1"/>
  <c r="F8" i="1" s="1"/>
  <c r="E22" i="1"/>
  <c r="E6" i="1"/>
  <c r="F6" i="1" s="1"/>
  <c r="E21" i="1"/>
  <c r="F21" i="1" s="1"/>
  <c r="E4" i="1"/>
  <c r="F4" i="1" s="1"/>
  <c r="E17" i="1"/>
  <c r="B8" i="1"/>
  <c r="E16" i="1"/>
  <c r="B17" i="1"/>
  <c r="A17" i="1" s="1"/>
  <c r="E21" i="2" l="1"/>
  <c r="E22" i="2"/>
  <c r="A12" i="1"/>
  <c r="A10" i="1"/>
  <c r="A14" i="1"/>
  <c r="A13" i="1"/>
  <c r="A15" i="1"/>
  <c r="F16" i="1"/>
  <c r="A5" i="1"/>
  <c r="A11" i="1"/>
  <c r="A22" i="1"/>
  <c r="A7" i="1"/>
  <c r="A16" i="1"/>
  <c r="A18" i="1"/>
  <c r="A6" i="1"/>
  <c r="F10" i="1"/>
  <c r="F11" i="1"/>
  <c r="F12" i="1"/>
  <c r="F17" i="1"/>
  <c r="F15" i="1"/>
  <c r="F13" i="1"/>
  <c r="F18" i="1"/>
  <c r="A8" i="1"/>
  <c r="A9" i="1"/>
  <c r="F22" i="1"/>
  <c r="F7" i="1"/>
  <c r="A19" i="1"/>
  <c r="A20" i="1"/>
  <c r="F5" i="1"/>
  <c r="A21" i="1"/>
</calcChain>
</file>

<file path=xl/sharedStrings.xml><?xml version="1.0" encoding="utf-8"?>
<sst xmlns="http://schemas.openxmlformats.org/spreadsheetml/2006/main" count="917" uniqueCount="732">
  <si>
    <t>x^2</t>
  </si>
  <si>
    <t>D</t>
  </si>
  <si>
    <t>y</t>
  </si>
  <si>
    <t>delta x^2</t>
  </si>
  <si>
    <t>dd x^2</t>
  </si>
  <si>
    <t>x</t>
  </si>
  <si>
    <t>dx</t>
  </si>
  <si>
    <t>Andraderivatan av x^2 är 6 I detta fall, och 2D I allmänhet.</t>
  </si>
  <si>
    <t>Det ser ut som att dx konvergerar mot ungefär sqrt(D)</t>
  </si>
  <si>
    <t>Så för att snabba upp så kan man lägga till lite mindre än sqrt(d) till x,</t>
  </si>
  <si>
    <t>Och sen öka med 1 tills x*x är större än Dyy+1</t>
  </si>
  <si>
    <t>Och Dyy+1 kan ökas med dx2 varje cykel</t>
  </si>
  <si>
    <t>Och dx2 kan ökas med 2*D varje cykel</t>
  </si>
  <si>
    <t>x2</t>
  </si>
  <si>
    <t>dx2</t>
  </si>
  <si>
    <t>dx^2</t>
  </si>
  <si>
    <t>ddx^2</t>
  </si>
  <si>
    <t>2: k=1</t>
  </si>
  <si>
    <t>3: k=1</t>
  </si>
  <si>
    <t>5: k=2</t>
  </si>
  <si>
    <t>7: k=1</t>
  </si>
  <si>
    <t>11: k=1</t>
  </si>
  <si>
    <t>13: k=50</t>
  </si>
  <si>
    <t>17: k=2</t>
  </si>
  <si>
    <t>19: k=9</t>
  </si>
  <si>
    <t>23: k=1</t>
  </si>
  <si>
    <t>29: k=338</t>
  </si>
  <si>
    <t>31: k=49</t>
  </si>
  <si>
    <t>37: k=2</t>
  </si>
  <si>
    <t>41: k=1296</t>
  </si>
  <si>
    <t>43: k=81</t>
  </si>
  <si>
    <t>47: k=1</t>
  </si>
  <si>
    <t>53: k=1250</t>
  </si>
  <si>
    <t>59: k=9</t>
  </si>
  <si>
    <t>61: k=1936</t>
  </si>
  <si>
    <t>67: k=729</t>
  </si>
  <si>
    <t>71: k=49</t>
  </si>
  <si>
    <t>73: k=576</t>
  </si>
  <si>
    <t>79: k=1</t>
  </si>
  <si>
    <t>83: k=1</t>
  </si>
  <si>
    <t>89: k=5618</t>
  </si>
  <si>
    <t>97: k=784</t>
  </si>
  <si>
    <t>101: k=2</t>
  </si>
  <si>
    <t>103: k=2209</t>
  </si>
  <si>
    <t>107: k=9</t>
  </si>
  <si>
    <t>109: k=291316624</t>
  </si>
  <si>
    <t>113: k=3600</t>
  </si>
  <si>
    <t>127: k=1024</t>
  </si>
  <si>
    <t>131: k=81</t>
  </si>
  <si>
    <t>137: k=228847424400</t>
  </si>
  <si>
    <t>139: k=90000</t>
  </si>
  <si>
    <t>149: k=173166050</t>
  </si>
  <si>
    <t>151: k=11444689</t>
  </si>
  <si>
    <t>157: k=1962490000</t>
  </si>
  <si>
    <t>163: k=1296</t>
  </si>
  <si>
    <t>167: k=1</t>
  </si>
  <si>
    <t>173: k=14450</t>
  </si>
  <si>
    <t>179: k=23409</t>
  </si>
  <si>
    <t>181: k=5776</t>
  </si>
  <si>
    <t>191: k=47089</t>
  </si>
  <si>
    <t>193: k=128958736</t>
  </si>
  <si>
    <t>197: k=2</t>
  </si>
  <si>
    <t>199: k=1600</t>
  </si>
  <si>
    <t>211: k=1319215041</t>
  </si>
  <si>
    <t>223: k=1</t>
  </si>
  <si>
    <t>227: k=1</t>
  </si>
  <si>
    <t>229: k=25538</t>
  </si>
  <si>
    <t>233: k=4602578</t>
  </si>
  <si>
    <t>239: k=25921</t>
  </si>
  <si>
    <t>241: k=2</t>
  </si>
  <si>
    <t>251: k=14641</t>
  </si>
  <si>
    <t>257: k=2048</t>
  </si>
  <si>
    <t>263: k=529</t>
  </si>
  <si>
    <t>269: k=50</t>
  </si>
  <si>
    <t>271: k=427951969</t>
  </si>
  <si>
    <t>277 not fonud</t>
  </si>
  <si>
    <t>281: k=8050536050</t>
  </si>
  <si>
    <t>283: k=488601</t>
  </si>
  <si>
    <t>293: k=42050</t>
  </si>
  <si>
    <t>307: k=288369</t>
  </si>
  <si>
    <t>311: k=54289</t>
  </si>
  <si>
    <t>313: k=10000</t>
  </si>
  <si>
    <t>317: k=784476050</t>
  </si>
  <si>
    <t>331: k=8415679158441</t>
  </si>
  <si>
    <t>337: k=2</t>
  </si>
  <si>
    <t>347: k=1849</t>
  </si>
  <si>
    <t>349: k=486098</t>
  </si>
  <si>
    <t>353: k=98</t>
  </si>
  <si>
    <t>359: k=1</t>
  </si>
  <si>
    <t>367: k=51825601</t>
  </si>
  <si>
    <t>373: k=140450</t>
  </si>
  <si>
    <t>379: k=34145639104329</t>
  </si>
  <si>
    <t>383: k=49</t>
  </si>
  <si>
    <t>389: k=8450</t>
  </si>
  <si>
    <t>397: k=16839894736704400</t>
  </si>
  <si>
    <t>401: k=2</t>
  </si>
  <si>
    <t>409: k=8179600</t>
  </si>
  <si>
    <t>419: k=644809</t>
  </si>
  <si>
    <t>421: k=13456</t>
  </si>
  <si>
    <t>431: k=351649</t>
  </si>
  <si>
    <t>433: k=8317456</t>
  </si>
  <si>
    <t>439: k=1</t>
  </si>
  <si>
    <t>443: k=1</t>
  </si>
  <si>
    <t>449: k=2</t>
  </si>
  <si>
    <t>457: k=17129830992400</t>
  </si>
  <si>
    <t>461: k=2564754642482</t>
  </si>
  <si>
    <t>463: k=534584709409</t>
  </si>
  <si>
    <t>467: k=3481</t>
  </si>
  <si>
    <t>479: k=6241</t>
  </si>
  <si>
    <t>487: k=106583313841</t>
  </si>
  <si>
    <t>491: k=318096</t>
  </si>
  <si>
    <t>499: k=9</t>
  </si>
  <si>
    <t>503: k=49</t>
  </si>
  <si>
    <t>509: k=615326563501778</t>
  </si>
  <si>
    <t>521: k=6512490000</t>
  </si>
  <si>
    <t>523: k=156425049</t>
  </si>
  <si>
    <t>541 not fonud</t>
  </si>
  <si>
    <t>547: k=292829252769</t>
  </si>
  <si>
    <t>557: k=50</t>
  </si>
  <si>
    <t>563: k=121</t>
  </si>
  <si>
    <t>569: k=29456016189180050</t>
  </si>
  <si>
    <t>571: k=2878968482240400</t>
  </si>
  <si>
    <t>577: k=2</t>
  </si>
  <si>
    <t>587: k=3249</t>
  </si>
  <si>
    <t>593: k=1216724450</t>
  </si>
  <si>
    <t>599: k=41212654081</t>
  </si>
  <si>
    <t>601: k=389376</t>
  </si>
  <si>
    <t>607: k=270306481</t>
  </si>
  <si>
    <t>613: k=19600</t>
  </si>
  <si>
    <t>617: k=5451529356242</t>
  </si>
  <si>
    <t>619: k=2631690000</t>
  </si>
  <si>
    <t>631 not fonud</t>
  </si>
  <si>
    <t>641: k=5320322</t>
  </si>
  <si>
    <t>643: k=3093250689</t>
  </si>
  <si>
    <t>647: k=5184</t>
  </si>
  <si>
    <t>653: k=16079611896902450</t>
  </si>
  <si>
    <t>659: k=9</t>
  </si>
  <si>
    <t>661: k=9610015005507856</t>
  </si>
  <si>
    <t>673: k=506018</t>
  </si>
  <si>
    <t>677: k=2</t>
  </si>
  <si>
    <t>683: k=249001</t>
  </si>
  <si>
    <t>691: k=489389790096</t>
  </si>
  <si>
    <t>701: k=396050</t>
  </si>
  <si>
    <t>709: k=939044674178</t>
  </si>
  <si>
    <t>719: k=561168721</t>
  </si>
  <si>
    <t>727: k=1</t>
  </si>
  <si>
    <t>733: k=266450</t>
  </si>
  <si>
    <t>739: k=38787984</t>
  </si>
  <si>
    <t>743: k=961</t>
  </si>
  <si>
    <t>751 not fonud</t>
  </si>
  <si>
    <t>757: k=4953906722</t>
  </si>
  <si>
    <t>761: k=24336</t>
  </si>
  <si>
    <t>769: k=1058</t>
  </si>
  <si>
    <t>773: k=4666746050</t>
  </si>
  <si>
    <t>787: k=43996689</t>
  </si>
  <si>
    <t>797: k=1532947970450</t>
  </si>
  <si>
    <t>809 not fonud</t>
  </si>
  <si>
    <t>811: k=1704158031539601</t>
  </si>
  <si>
    <t>821 not fonud</t>
  </si>
  <si>
    <t>823: k=15808576</t>
  </si>
  <si>
    <t>827: k=1089</t>
  </si>
  <si>
    <t>829: k=578812682450</t>
  </si>
  <si>
    <t>839: k=1</t>
  </si>
  <si>
    <t>853 not fonud</t>
  </si>
  <si>
    <t>857: k=17139600</t>
  </si>
  <si>
    <t>859: k=44078711072400</t>
  </si>
  <si>
    <t>863: k=21464689</t>
  </si>
  <si>
    <t>877: k=132812402</t>
  </si>
  <si>
    <t>881: k=2</t>
  </si>
  <si>
    <t>883: k=7056</t>
  </si>
  <si>
    <t>887: k=529</t>
  </si>
  <si>
    <t>907 not fonud</t>
  </si>
  <si>
    <t>911: k=408158710129</t>
  </si>
  <si>
    <t>919 not fonud</t>
  </si>
  <si>
    <t>929: k=1254693997155600</t>
  </si>
  <si>
    <t>937: k=982572597504</t>
  </si>
  <si>
    <t>941: k=1889294234256</t>
  </si>
  <si>
    <t>947: k=14265729</t>
  </si>
  <si>
    <t>953: k=15834765838048658</t>
  </si>
  <si>
    <t>967: k=7744</t>
  </si>
  <si>
    <t>971: k=12852530161</t>
  </si>
  <si>
    <t>977: k=4802</t>
  </si>
  <si>
    <t>983: k=289</t>
  </si>
  <si>
    <t>991 not fonud</t>
  </si>
  <si>
    <t>997: k=14461442</t>
  </si>
  <si>
    <t>K</t>
  </si>
  <si>
    <t>Not Found</t>
  </si>
  <si>
    <t>2</t>
  </si>
  <si>
    <t>1</t>
  </si>
  <si>
    <t>3</t>
  </si>
  <si>
    <t>5</t>
  </si>
  <si>
    <t>7</t>
  </si>
  <si>
    <t>11</t>
  </si>
  <si>
    <t>13</t>
  </si>
  <si>
    <t>50</t>
  </si>
  <si>
    <t>17</t>
  </si>
  <si>
    <t>19</t>
  </si>
  <si>
    <t>9</t>
  </si>
  <si>
    <t>23</t>
  </si>
  <si>
    <t>29</t>
  </si>
  <si>
    <t>338</t>
  </si>
  <si>
    <t>31</t>
  </si>
  <si>
    <t>49</t>
  </si>
  <si>
    <t>37</t>
  </si>
  <si>
    <t>41</t>
  </si>
  <si>
    <t>1296</t>
  </si>
  <si>
    <t>43</t>
  </si>
  <si>
    <t>81</t>
  </si>
  <si>
    <t>47</t>
  </si>
  <si>
    <t>53</t>
  </si>
  <si>
    <t>1250</t>
  </si>
  <si>
    <t>59</t>
  </si>
  <si>
    <t>61</t>
  </si>
  <si>
    <t>1936</t>
  </si>
  <si>
    <t>67</t>
  </si>
  <si>
    <t>729</t>
  </si>
  <si>
    <t>71</t>
  </si>
  <si>
    <t>73</t>
  </si>
  <si>
    <t>576</t>
  </si>
  <si>
    <t>79</t>
  </si>
  <si>
    <t>83</t>
  </si>
  <si>
    <t>89</t>
  </si>
  <si>
    <t>5618</t>
  </si>
  <si>
    <t>97</t>
  </si>
  <si>
    <t>784</t>
  </si>
  <si>
    <t>101</t>
  </si>
  <si>
    <t>103</t>
  </si>
  <si>
    <t>2209</t>
  </si>
  <si>
    <t>107</t>
  </si>
  <si>
    <t>109</t>
  </si>
  <si>
    <t>291316624</t>
  </si>
  <si>
    <t>113</t>
  </si>
  <si>
    <t>3600</t>
  </si>
  <si>
    <t>127</t>
  </si>
  <si>
    <t>1024</t>
  </si>
  <si>
    <t>131</t>
  </si>
  <si>
    <t>137</t>
  </si>
  <si>
    <t>228847424400</t>
  </si>
  <si>
    <t>139</t>
  </si>
  <si>
    <t>90000</t>
  </si>
  <si>
    <t>149</t>
  </si>
  <si>
    <t>173166050</t>
  </si>
  <si>
    <t>151</t>
  </si>
  <si>
    <t>11444689</t>
  </si>
  <si>
    <t>157</t>
  </si>
  <si>
    <t>1962490000</t>
  </si>
  <si>
    <t>163</t>
  </si>
  <si>
    <t>167</t>
  </si>
  <si>
    <t>173</t>
  </si>
  <si>
    <t>14450</t>
  </si>
  <si>
    <t>179</t>
  </si>
  <si>
    <t>23409</t>
  </si>
  <si>
    <t>181</t>
  </si>
  <si>
    <t>5776</t>
  </si>
  <si>
    <t>191</t>
  </si>
  <si>
    <t>47089</t>
  </si>
  <si>
    <t>193</t>
  </si>
  <si>
    <t>128958736</t>
  </si>
  <si>
    <t>197</t>
  </si>
  <si>
    <t>199</t>
  </si>
  <si>
    <t>1600</t>
  </si>
  <si>
    <t>211</t>
  </si>
  <si>
    <t>1319215041</t>
  </si>
  <si>
    <t>223</t>
  </si>
  <si>
    <t>227</t>
  </si>
  <si>
    <t>229</t>
  </si>
  <si>
    <t>25538</t>
  </si>
  <si>
    <t>233</t>
  </si>
  <si>
    <t>4602578</t>
  </si>
  <si>
    <t>239</t>
  </si>
  <si>
    <t>25921</t>
  </si>
  <si>
    <t>241</t>
  </si>
  <si>
    <t>251</t>
  </si>
  <si>
    <t>14641</t>
  </si>
  <si>
    <t>257</t>
  </si>
  <si>
    <t>2048</t>
  </si>
  <si>
    <t>263</t>
  </si>
  <si>
    <t>529</t>
  </si>
  <si>
    <t>269</t>
  </si>
  <si>
    <t>271</t>
  </si>
  <si>
    <t>427951969</t>
  </si>
  <si>
    <t>281</t>
  </si>
  <si>
    <t>8050536050</t>
  </si>
  <si>
    <t>283</t>
  </si>
  <si>
    <t>488601</t>
  </si>
  <si>
    <t>293</t>
  </si>
  <si>
    <t>42050</t>
  </si>
  <si>
    <t>307</t>
  </si>
  <si>
    <t>288369</t>
  </si>
  <si>
    <t>311</t>
  </si>
  <si>
    <t>54289</t>
  </si>
  <si>
    <t>313</t>
  </si>
  <si>
    <t>10000</t>
  </si>
  <si>
    <t>317</t>
  </si>
  <si>
    <t>784476050</t>
  </si>
  <si>
    <t>331</t>
  </si>
  <si>
    <t>8415679158441</t>
  </si>
  <si>
    <t>337</t>
  </si>
  <si>
    <t>347</t>
  </si>
  <si>
    <t>1849</t>
  </si>
  <si>
    <t>349</t>
  </si>
  <si>
    <t>486098</t>
  </si>
  <si>
    <t>353</t>
  </si>
  <si>
    <t>98</t>
  </si>
  <si>
    <t>359</t>
  </si>
  <si>
    <t>367</t>
  </si>
  <si>
    <t>51825601</t>
  </si>
  <si>
    <t>373</t>
  </si>
  <si>
    <t>140450</t>
  </si>
  <si>
    <t>379</t>
  </si>
  <si>
    <t>34145639104329</t>
  </si>
  <si>
    <t>383</t>
  </si>
  <si>
    <t>389</t>
  </si>
  <si>
    <t>8450</t>
  </si>
  <si>
    <t>397</t>
  </si>
  <si>
    <t>16839894736704400</t>
  </si>
  <si>
    <t>401</t>
  </si>
  <si>
    <t>409</t>
  </si>
  <si>
    <t>8179600</t>
  </si>
  <si>
    <t>419</t>
  </si>
  <si>
    <t>644809</t>
  </si>
  <si>
    <t>421</t>
  </si>
  <si>
    <t>13456</t>
  </si>
  <si>
    <t>431</t>
  </si>
  <si>
    <t>351649</t>
  </si>
  <si>
    <t>433</t>
  </si>
  <si>
    <t>8317456</t>
  </si>
  <si>
    <t>439</t>
  </si>
  <si>
    <t>443</t>
  </si>
  <si>
    <t>449</t>
  </si>
  <si>
    <t>457</t>
  </si>
  <si>
    <t>17129830992400</t>
  </si>
  <si>
    <t>461</t>
  </si>
  <si>
    <t>2564754642482</t>
  </si>
  <si>
    <t>463</t>
  </si>
  <si>
    <t>534584709409</t>
  </si>
  <si>
    <t>467</t>
  </si>
  <si>
    <t>3481</t>
  </si>
  <si>
    <t>479</t>
  </si>
  <si>
    <t>6241</t>
  </si>
  <si>
    <t>487</t>
  </si>
  <si>
    <t>106583313841</t>
  </si>
  <si>
    <t>491</t>
  </si>
  <si>
    <t>318096</t>
  </si>
  <si>
    <t>499</t>
  </si>
  <si>
    <t>503</t>
  </si>
  <si>
    <t>509</t>
  </si>
  <si>
    <t>615326563501778</t>
  </si>
  <si>
    <t>521</t>
  </si>
  <si>
    <t>6512490000</t>
  </si>
  <si>
    <t>523</t>
  </si>
  <si>
    <t>156425049</t>
  </si>
  <si>
    <t>547</t>
  </si>
  <si>
    <t>292829252769</t>
  </si>
  <si>
    <t>557</t>
  </si>
  <si>
    <t>563</t>
  </si>
  <si>
    <t>121</t>
  </si>
  <si>
    <t>569</t>
  </si>
  <si>
    <t>29456016189180050</t>
  </si>
  <si>
    <t>571</t>
  </si>
  <si>
    <t>2878968482240400</t>
  </si>
  <si>
    <t>577</t>
  </si>
  <si>
    <t>587</t>
  </si>
  <si>
    <t>3249</t>
  </si>
  <si>
    <t>593</t>
  </si>
  <si>
    <t>1216724450</t>
  </si>
  <si>
    <t>599</t>
  </si>
  <si>
    <t>41212654081</t>
  </si>
  <si>
    <t>601</t>
  </si>
  <si>
    <t>389376</t>
  </si>
  <si>
    <t>607</t>
  </si>
  <si>
    <t>270306481</t>
  </si>
  <si>
    <t>613</t>
  </si>
  <si>
    <t>19600</t>
  </si>
  <si>
    <t>617</t>
  </si>
  <si>
    <t>5451529356242</t>
  </si>
  <si>
    <t>619</t>
  </si>
  <si>
    <t>2631690000</t>
  </si>
  <si>
    <t>641</t>
  </si>
  <si>
    <t>5320322</t>
  </si>
  <si>
    <t>643</t>
  </si>
  <si>
    <t>3093250689</t>
  </si>
  <si>
    <t>647</t>
  </si>
  <si>
    <t>5184</t>
  </si>
  <si>
    <t>653</t>
  </si>
  <si>
    <t>16079611896902450</t>
  </si>
  <si>
    <t>659</t>
  </si>
  <si>
    <t>661</t>
  </si>
  <si>
    <t>9610015005507856</t>
  </si>
  <si>
    <t>673</t>
  </si>
  <si>
    <t>506018</t>
  </si>
  <si>
    <t>677</t>
  </si>
  <si>
    <t>683</t>
  </si>
  <si>
    <t>249001</t>
  </si>
  <si>
    <t>691</t>
  </si>
  <si>
    <t>489389790096</t>
  </si>
  <si>
    <t>701</t>
  </si>
  <si>
    <t>396050</t>
  </si>
  <si>
    <t>709</t>
  </si>
  <si>
    <t>939044674178</t>
  </si>
  <si>
    <t>719</t>
  </si>
  <si>
    <t>561168721</t>
  </si>
  <si>
    <t>727</t>
  </si>
  <si>
    <t>733</t>
  </si>
  <si>
    <t>266450</t>
  </si>
  <si>
    <t>739</t>
  </si>
  <si>
    <t>38787984</t>
  </si>
  <si>
    <t>743</t>
  </si>
  <si>
    <t>961</t>
  </si>
  <si>
    <t>757</t>
  </si>
  <si>
    <t>4953906722</t>
  </si>
  <si>
    <t>761</t>
  </si>
  <si>
    <t>24336</t>
  </si>
  <si>
    <t>769</t>
  </si>
  <si>
    <t>1058</t>
  </si>
  <si>
    <t>773</t>
  </si>
  <si>
    <t>4666746050</t>
  </si>
  <si>
    <t>787</t>
  </si>
  <si>
    <t>43996689</t>
  </si>
  <si>
    <t>797</t>
  </si>
  <si>
    <t>1532947970450</t>
  </si>
  <si>
    <t>811</t>
  </si>
  <si>
    <t>1704158031539601</t>
  </si>
  <si>
    <t>823</t>
  </si>
  <si>
    <t>15808576</t>
  </si>
  <si>
    <t>827</t>
  </si>
  <si>
    <t>1089</t>
  </si>
  <si>
    <t>829</t>
  </si>
  <si>
    <t>578812682450</t>
  </si>
  <si>
    <t>839</t>
  </si>
  <si>
    <t>857</t>
  </si>
  <si>
    <t>17139600</t>
  </si>
  <si>
    <t>859</t>
  </si>
  <si>
    <t>44078711072400</t>
  </si>
  <si>
    <t>863</t>
  </si>
  <si>
    <t>21464689</t>
  </si>
  <si>
    <t>877</t>
  </si>
  <si>
    <t>132812402</t>
  </si>
  <si>
    <t>881</t>
  </si>
  <si>
    <t>883</t>
  </si>
  <si>
    <t>7056</t>
  </si>
  <si>
    <t>887</t>
  </si>
  <si>
    <t>911</t>
  </si>
  <si>
    <t>408158710129</t>
  </si>
  <si>
    <t>929</t>
  </si>
  <si>
    <t>1254693997155600</t>
  </si>
  <si>
    <t>937</t>
  </si>
  <si>
    <t>982572597504</t>
  </si>
  <si>
    <t>941</t>
  </si>
  <si>
    <t>1889294234256</t>
  </si>
  <si>
    <t>947</t>
  </si>
  <si>
    <t>14265729</t>
  </si>
  <si>
    <t>953</t>
  </si>
  <si>
    <t>15834765838048658</t>
  </si>
  <si>
    <t>967</t>
  </si>
  <si>
    <t>7744</t>
  </si>
  <si>
    <t>971</t>
  </si>
  <si>
    <t>12852530161</t>
  </si>
  <si>
    <t>977</t>
  </si>
  <si>
    <t>4802</t>
  </si>
  <si>
    <t>983</t>
  </si>
  <si>
    <t>289</t>
  </si>
  <si>
    <t>997</t>
  </si>
  <si>
    <t>14461442</t>
  </si>
  <si>
    <t>sqrt(k+2)^2</t>
  </si>
  <si>
    <t>sqrt(k-2)^2</t>
  </si>
  <si>
    <t>Y^2 by K+2</t>
  </si>
  <si>
    <t>Y^2 by K-2</t>
  </si>
  <si>
    <t>Results wrong due to bugs. Fixed bugs but have to run again</t>
  </si>
  <si>
    <t>not fonud</t>
  </si>
  <si>
    <t>Plusorminus</t>
  </si>
  <si>
    <t>Factors k</t>
  </si>
  <si>
    <t>Factors kd+2 or kd-2</t>
  </si>
  <si>
    <t>not fonud 277</t>
  </si>
  <si>
    <t>not fonud 397</t>
  </si>
  <si>
    <t>not fonud 409</t>
  </si>
  <si>
    <t>not fonud 421</t>
  </si>
  <si>
    <t>not fonud 433</t>
  </si>
  <si>
    <t>not fonud 457</t>
  </si>
  <si>
    <t>not fonud 541</t>
  </si>
  <si>
    <t>not fonud 571</t>
  </si>
  <si>
    <t>not fonud 601</t>
  </si>
  <si>
    <t>not fonud 613</t>
  </si>
  <si>
    <t>not fonud 631</t>
  </si>
  <si>
    <t>not fonud 641</t>
  </si>
  <si>
    <t>not fonud 661</t>
  </si>
  <si>
    <t>not fonud 673</t>
  </si>
  <si>
    <t>not fonud 691</t>
  </si>
  <si>
    <t>not fonud 739</t>
  </si>
  <si>
    <t>not fonud 751</t>
  </si>
  <si>
    <t>not fonud 769</t>
  </si>
  <si>
    <t>not fonud 809</t>
  </si>
  <si>
    <t>not fonud 821</t>
  </si>
  <si>
    <t>not fonud 823</t>
  </si>
  <si>
    <t>not fonud 853</t>
  </si>
  <si>
    <t>not fonud 859</t>
  </si>
  <si>
    <t>not fonud 881</t>
  </si>
  <si>
    <t>not fonud 883</t>
  </si>
  <si>
    <t>not fonud 907</t>
  </si>
  <si>
    <t>not fonud 919</t>
  </si>
  <si>
    <t>not fonud 929</t>
  </si>
  <si>
    <t>not fonud 937</t>
  </si>
  <si>
    <t>not fonud 977</t>
  </si>
  <si>
    <t>not fonud 991</t>
  </si>
  <si>
    <t>Main program gives bad results for k with 16 digits</t>
  </si>
  <si>
    <t>'2</t>
  </si>
  <si>
    <t>'2,5,5,53,53</t>
  </si>
  <si>
    <t>'1</t>
  </si>
  <si>
    <t>'2,5,5</t>
  </si>
  <si>
    <t>'3,3</t>
  </si>
  <si>
    <t>'2,13,13</t>
  </si>
  <si>
    <t>'7,7</t>
  </si>
  <si>
    <t>'3,3,3,3</t>
  </si>
  <si>
    <t>'2,5,5,5,5</t>
  </si>
  <si>
    <t>'2,5,5,761,761</t>
  </si>
  <si>
    <t>'3,3,3,3,3,3</t>
  </si>
  <si>
    <t>'2,5,5,5,5,5,5</t>
  </si>
  <si>
    <t>'2,53,53</t>
  </si>
  <si>
    <t>'2,569,569</t>
  </si>
  <si>
    <t>'47,47</t>
  </si>
  <si>
    <t>'2,5,5,5,5,34061,34061</t>
  </si>
  <si>
    <t>'2,73,73</t>
  </si>
  <si>
    <t>'193,193</t>
  </si>
  <si>
    <t>'2,149,149</t>
  </si>
  <si>
    <t>'3,3,3,3,83,83</t>
  </si>
  <si>
    <t>'2,5,5,1861,1861</t>
  </si>
  <si>
    <t>'17,17,199,199</t>
  </si>
  <si>
    <t>'2,5,5,13,13,17,17,349,349</t>
  </si>
  <si>
    <t>'3,3,11,11,19,19</t>
  </si>
  <si>
    <t>'2,5,5,17,17</t>
  </si>
  <si>
    <t>'3,3,3,3,17,17</t>
  </si>
  <si>
    <t>'2,2,2,5,5,68222249276911</t>
  </si>
  <si>
    <t>'7,7,31,31</t>
  </si>
  <si>
    <t>'2,5,5,109,109,233,233</t>
  </si>
  <si>
    <t>'9041,9041</t>
  </si>
  <si>
    <t>'3,3,12107,12107</t>
  </si>
  <si>
    <t>'2,113,113</t>
  </si>
  <si>
    <t>'2,37,37,41,41</t>
  </si>
  <si>
    <t>'7,7,23,23</t>
  </si>
  <si>
    <t>'2,5,5,5,5,182969,182969</t>
  </si>
  <si>
    <t>'11,11,11,11</t>
  </si>
  <si>
    <t>'23,23</t>
  </si>
  <si>
    <t>'137,137,151,151</t>
  </si>
  <si>
    <t>'2,5,5,12689,12689</t>
  </si>
  <si>
    <t>'3,3,233,233</t>
  </si>
  <si>
    <t>'2,5,5,29,29</t>
  </si>
  <si>
    <t>'3,3,179,179</t>
  </si>
  <si>
    <t>'233,233</t>
  </si>
  <si>
    <t>'2,5,5,17,17,29,29,2909,2909</t>
  </si>
  <si>
    <t>'2,5,5,17,17,233,233</t>
  </si>
  <si>
    <t>'3,3,3,3,97,97,3323,3323</t>
  </si>
  <si>
    <t>'2,2,2,2,2,3,5,1383391,9222607</t>
  </si>
  <si>
    <t>'43,43</t>
  </si>
  <si>
    <t>'2,17,17,29,29</t>
  </si>
  <si>
    <t>'2,3793,3793</t>
  </si>
  <si>
    <t>'23,23,313,313</t>
  </si>
  <si>
    <t>'3,3,17,17,114577,114577</t>
  </si>
  <si>
    <t>'2,5,5,13,13</t>
  </si>
  <si>
    <t>'11,11,73,73</t>
  </si>
  <si>
    <t>'593,593</t>
  </si>
  <si>
    <t>'2,5,5,1788341,1788341</t>
  </si>
  <si>
    <t>'2,17,17,29,29,2297,2297</t>
  </si>
  <si>
    <t>'17,17,41,41,1049,1049</t>
  </si>
  <si>
    <t>'59,59</t>
  </si>
  <si>
    <t>'79,79</t>
  </si>
  <si>
    <t>'137,137,2383,2383</t>
  </si>
  <si>
    <t>'3,3,4603,4603</t>
  </si>
  <si>
    <t>'2,41,41,427813,427813</t>
  </si>
  <si>
    <t>'2,733,733,7673,7673</t>
  </si>
  <si>
    <t>'3,3,11,11,379,379</t>
  </si>
  <si>
    <t>'3,3,180379,180379</t>
  </si>
  <si>
    <t>'11,11</t>
  </si>
  <si>
    <t>'2,2,2,2,2,3,5,5,5,5,7,79,149,1031,5779</t>
  </si>
  <si>
    <t>'3,3,19,19</t>
  </si>
  <si>
    <t>'2,5,5,4933,4933</t>
  </si>
  <si>
    <t>'89,89,2281,2281</t>
  </si>
  <si>
    <t>'41,41,401,401</t>
  </si>
  <si>
    <t>'2,17,17,97117,97117</t>
  </si>
  <si>
    <t>'3,3,41,41,235009,235009</t>
  </si>
  <si>
    <t>'3,3,18539,18539</t>
  </si>
  <si>
    <t>'431,431</t>
  </si>
  <si>
    <t>'2,2,2,2,2,2,2,2,3,5,5,7,11,17,1213,527441</t>
  </si>
  <si>
    <t>'499,499</t>
  </si>
  <si>
    <t>'2,5,5,89,89</t>
  </si>
  <si>
    <t>'2,13,13,52709,52709</t>
  </si>
  <si>
    <t>'23689,23689</t>
  </si>
  <si>
    <t>'2,5,5,73,73</t>
  </si>
  <si>
    <t>'31,31</t>
  </si>
  <si>
    <t>'2,157,157,317,317</t>
  </si>
  <si>
    <t>'2,29,29</t>
  </si>
  <si>
    <t>'2,5,5,9661,9661</t>
  </si>
  <si>
    <t>'3,3,3,3,11,11,67,67</t>
  </si>
  <si>
    <t>'2,5,5,13,13,13469,13469</t>
  </si>
  <si>
    <t>'2,2,2,2,5,5,7,13,79,1493,396937</t>
  </si>
  <si>
    <t>'3,3,11,11</t>
  </si>
  <si>
    <t>'2,5,5,17,17,6329,6329</t>
  </si>
  <si>
    <t>'2,5,5,5,5,11093,11093</t>
  </si>
  <si>
    <t>'41,41,113,113</t>
  </si>
  <si>
    <t>'2,29,29,281,281</t>
  </si>
  <si>
    <t>'79,79,8087,8087</t>
  </si>
  <si>
    <t>'2,2,2,2,3,3,5,11,31,1021,1061,4271</t>
  </si>
  <si>
    <t>'3,3,1259,1259</t>
  </si>
  <si>
    <t>'2,2,2,5,5,643,123131927201</t>
  </si>
  <si>
    <t>'2,2,2,2,3,5,2889217,6934121</t>
  </si>
  <si>
    <t>'73,73,1553,1553</t>
  </si>
  <si>
    <t>'17,17</t>
  </si>
  <si>
    <t>'2,2689,2689</t>
  </si>
  <si>
    <t>'2,2,2</t>
  </si>
  <si>
    <t>'2,2,2,3,3,3,3</t>
  </si>
  <si>
    <t>'2,2,2,2,2</t>
  </si>
  <si>
    <t>'13,13</t>
  </si>
  <si>
    <t>'5,5</t>
  </si>
  <si>
    <t>'2,2,2,5,5,7,7</t>
  </si>
  <si>
    <t>'3,3,13,13</t>
  </si>
  <si>
    <t>'2,2,2,3,3</t>
  </si>
  <si>
    <t>'2,2,2,2,2,2,2,2,2,2,2</t>
  </si>
  <si>
    <t>'2,2,2,7,7,13,13</t>
  </si>
  <si>
    <t>'2,2,2,3,3,3,3,13,13,127,127</t>
  </si>
  <si>
    <t>'13,13,17,17</t>
  </si>
  <si>
    <t>'2,2,2,2,2,3,3,89,89</t>
  </si>
  <si>
    <t>'2,2,2,2,2,5,5,5,5,5,5</t>
  </si>
  <si>
    <t>'2,2,2,2,2,3,3,467,467</t>
  </si>
  <si>
    <t>'2,2,2,5,5</t>
  </si>
  <si>
    <t>'3,3,3,3,53,53</t>
  </si>
  <si>
    <t>'2,2,2,3,3,3,3,3,3,7,7,29,29,811,811</t>
  </si>
  <si>
    <t>'2,2,2,2,2,2,2,97,97</t>
  </si>
  <si>
    <t>'3,3,5,5,5,5,29,29</t>
  </si>
  <si>
    <t>'103,103</t>
  </si>
  <si>
    <t>'2,2,2,2,2,2,2,2,2,109,109</t>
  </si>
  <si>
    <t>'8807,8807</t>
  </si>
  <si>
    <t>'2,2,2,7,7,7,7,19,19,61,61</t>
  </si>
  <si>
    <t>'3,3,3,3,31,31,149,149</t>
  </si>
  <si>
    <t>'2,2,2,3,3,3,3,19,19,71,71,199,199</t>
  </si>
  <si>
    <t>'5,5,1601,1601</t>
  </si>
  <si>
    <t>'2,2,2,13,13,43,43</t>
  </si>
  <si>
    <t>'23,23,89,89</t>
  </si>
  <si>
    <t>'2,23,29,4243,16519,26413259</t>
  </si>
  <si>
    <t>'2999,2999</t>
  </si>
  <si>
    <t>'2,2,2,2,2,3,3,147011,147011</t>
  </si>
  <si>
    <t>'2,2,2,7,7</t>
  </si>
  <si>
    <t>'3,3,3,3,37,37,383,383</t>
  </si>
  <si>
    <t>'11,11,47963,47963</t>
  </si>
  <si>
    <t>'3,3,5,5</t>
  </si>
  <si>
    <t>'2,2,2,3,3,3,3,5,5,19,19</t>
  </si>
  <si>
    <t>'2,2,2,2,2,7,7,827,827</t>
  </si>
  <si>
    <t>'19,19,131,131</t>
  </si>
  <si>
    <t>'2,2,2,2,2,3,3,229,229,25841,25841</t>
  </si>
  <si>
    <t>'3,3,3,3,3,3,71,71</t>
  </si>
  <si>
    <t>'2,2,2,2,2,2,2,2,2</t>
  </si>
  <si>
    <t>'373,373</t>
  </si>
  <si>
    <t>'2,2,2,41,41</t>
  </si>
  <si>
    <t>'3,3,3,3,3,3,12613,12613</t>
  </si>
  <si>
    <t>'2,2,2,2,2,265883,265883</t>
  </si>
  <si>
    <t>'11,11,1069,1069</t>
  </si>
  <si>
    <t>'2,2,2,17,17,73,73</t>
  </si>
  <si>
    <t>'97,97,97,97</t>
  </si>
  <si>
    <t>'7,7,587,587</t>
  </si>
  <si>
    <t>'2,2,2,2,2,2,2,2,2,2,2,3,3,1321483,1321483</t>
  </si>
  <si>
    <t>'2,2,2,7,7,89,89,283,283</t>
  </si>
  <si>
    <t>'13,13,37,37,179,179,613,613</t>
  </si>
  <si>
    <t>'2,11,97,223,22669,191310209</t>
  </si>
  <si>
    <t>'3,3,3,3,89,89</t>
  </si>
  <si>
    <t>'2,2,2,3,3,5,5,307,307</t>
  </si>
  <si>
    <t>'2,2,2,2,2,2,2,2,2,2,2,17,17,131,131</t>
  </si>
  <si>
    <t>'19,19</t>
  </si>
  <si>
    <t>'3,3,45971,45971</t>
  </si>
  <si>
    <t>'2,2,2,3,3,853,853</t>
  </si>
  <si>
    <t>'113759383,113759383</t>
  </si>
  <si>
    <t>'137,137</t>
  </si>
  <si>
    <t>'2,2,2,641,641</t>
  </si>
  <si>
    <t>'2,2,2,2,2,5,5</t>
  </si>
  <si>
    <t>'3,3,5479,5479</t>
  </si>
  <si>
    <t>'13,13,947,947</t>
  </si>
  <si>
    <t>'3,3,7,7</t>
  </si>
  <si>
    <t>'2,2,2,2,2,23,23,41,41,50231,50231</t>
  </si>
  <si>
    <t>'2,2,2,5,5,19,19,73,73,1753,1753</t>
  </si>
  <si>
    <t>'3,3,5244179,5244179</t>
  </si>
  <si>
    <t>'3,3,5,5,5,5,17,17</t>
  </si>
  <si>
    <t>'7,7,13,13,19,19</t>
  </si>
  <si>
    <t>'3,3,13,13,184733,184733</t>
  </si>
  <si>
    <t>'11,11,27817,27817</t>
  </si>
  <si>
    <t>'67,67</t>
  </si>
  <si>
    <t>'157,157</t>
  </si>
  <si>
    <t>'2,2,2,5,5,5,5,37,37,409,409,523,523</t>
  </si>
  <si>
    <t>'2,2,2,2,2,2,2,5,5,3209431,3209431</t>
  </si>
  <si>
    <t>'5,5,5,5,17,17,673,673</t>
  </si>
  <si>
    <t>'12656129,12656129</t>
  </si>
  <si>
    <t>'2,2,2,59,59</t>
  </si>
  <si>
    <t>'3,3,3,3,29,29</t>
  </si>
  <si>
    <t>'2,1699,108887,45298817923</t>
  </si>
  <si>
    <t>'2,2,2,2,2,2,2,3,3</t>
  </si>
  <si>
    <t>'1381,1381</t>
  </si>
  <si>
    <t>'2,2,2,2,2,2,2,75079,75079</t>
  </si>
  <si>
    <t>'17,17,292267,292267</t>
  </si>
  <si>
    <t>'3,3,3,3,45007,45007</t>
  </si>
  <si>
    <t>'2,2,2,2,2,11,11,932039,932039</t>
  </si>
  <si>
    <t>'13,29,1371919126136029</t>
  </si>
  <si>
    <t>'5,5,13,13,13,13,1669,1669</t>
  </si>
  <si>
    <t>'19,19,577,577</t>
  </si>
  <si>
    <t>'2,19,47,35353,166295698531</t>
  </si>
  <si>
    <t>'7,7,11,11</t>
  </si>
  <si>
    <t>'2,2,2,13,13</t>
  </si>
  <si>
    <t>'3,3,3,3,3,3,3,3,7,7,23,23</t>
  </si>
  <si>
    <t>'2,2,2,43,43,137,137</t>
  </si>
  <si>
    <t>'2,2,2,3,3,5,5,608177,608177</t>
  </si>
  <si>
    <t>'7,7,103,103,881,881</t>
  </si>
  <si>
    <t>'2,2,2,3,3,3,3,3,3,3,3,61,61</t>
  </si>
  <si>
    <t>'5,5,13,13,13,13</t>
  </si>
  <si>
    <t>'2,2,2,3,3,7,7,32603,32603</t>
  </si>
  <si>
    <t>'2,2,2,2,2,2,2,2,2,2,2,5,5,5,5</t>
  </si>
  <si>
    <t>'2,2,2,139,139,4831,4831</t>
  </si>
  <si>
    <t>'317,317,587,587</t>
  </si>
  <si>
    <t>'2,2,2,151,151,223,223,367,367</t>
  </si>
  <si>
    <t>'2,3,230345360596435933</t>
  </si>
  <si>
    <t>'13,13,73,73</t>
  </si>
  <si>
    <t>'2,2,2,3,3,281,281,9187,9187</t>
  </si>
  <si>
    <t>'29,29</t>
  </si>
  <si>
    <t>'2,2,2,2,2,2,2,1014821,1014821</t>
  </si>
  <si>
    <t>'11,11,12373,12373</t>
  </si>
  <si>
    <t>'2,2,2,3,3,3,3,3,3,41,41,109,109</t>
  </si>
  <si>
    <t>'5,5,137,137</t>
  </si>
  <si>
    <t>'31,31,71,71,8761,8761</t>
  </si>
  <si>
    <t>'2,41,439,29694008166841</t>
  </si>
  <si>
    <t>'47,47,2473,2473</t>
  </si>
  <si>
    <t>'2,3,7,19,31,53,11509702317007</t>
  </si>
  <si>
    <t>'2,17,45340181,3016109653</t>
  </si>
  <si>
    <t>'3,3,89,89,101,101,131,131</t>
  </si>
  <si>
    <t>'13,13,41,41</t>
  </si>
  <si>
    <t>'2,2,2,3,3,3,3,53,53,89,89</t>
  </si>
  <si>
    <t>Number of two2</t>
  </si>
  <si>
    <t>Tot number of twos</t>
  </si>
  <si>
    <t>Either k and k+2 has 0 twos, or k has one and k+2 has an odd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</si>
</sst>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" x14ac:knownFonts="1">
    <font>
      <sz val="12"/>
      <color theme="1"/>
      <name val="Aptos"/>
      <family val="2"/>
      <scheme val="minor"/>
    </font>
    <font>
      <sz val="12"/>
      <color theme="1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2" borderId="0" xfId="0" applyNumberFormat="1" applyFill="1" applyAlignment="1">
      <alignment horizontal="right"/>
    </xf>
    <xf numFmtId="0" fontId="0" fillId="2" borderId="0" xfId="0" applyFill="1"/>
    <xf numFmtId="165" fontId="0" fillId="2" borderId="0" xfId="1" applyNumberFormat="1" applyFont="1" applyFill="1"/>
    <xf numFmtId="0" fontId="0" fillId="2" borderId="0" xfId="0" applyFill="1" applyAlignment="1">
      <alignment horizontal="right"/>
    </xf>
    <xf numFmtId="165" fontId="0" fillId="0" borderId="0" xfId="1" applyNumberFormat="1" applyFont="1" applyFill="1"/>
    <xf numFmtId="0" fontId="0" fillId="0" borderId="0" xfId="0" quotePrefix="1" applyAlignment="1">
      <alignment horizontal="right"/>
    </xf>
    <xf numFmtId="3" fontId="0" fillId="0" borderId="0" xfId="0" quotePrefix="1" applyNumberFormat="1" applyAlignment="1">
      <alignment horizontal="right"/>
    </xf>
    <xf numFmtId="0" fontId="0" fillId="2" borderId="0" xfId="0" quotePrefix="1" applyFill="1" applyAlignment="1">
      <alignment horizontal="right"/>
    </xf>
  </cellXfs>
  <cellStyles count="2">
    <cellStyle name="Comma" xfId="1" builtinId="3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Tieto">
      <a:dk1>
        <a:srgbClr val="272A2C"/>
      </a:dk1>
      <a:lt1>
        <a:srgbClr val="FFFFFF"/>
      </a:lt1>
      <a:dk2>
        <a:srgbClr val="1A1715"/>
      </a:dk2>
      <a:lt2>
        <a:srgbClr val="D2D0CB"/>
      </a:lt2>
      <a:accent1>
        <a:srgbClr val="021E57"/>
      </a:accent1>
      <a:accent2>
        <a:srgbClr val="3531CF"/>
      </a:accent2>
      <a:accent3>
        <a:srgbClr val="4E60E7"/>
      </a:accent3>
      <a:accent4>
        <a:srgbClr val="839DF9"/>
      </a:accent4>
      <a:accent5>
        <a:srgbClr val="F5FF56"/>
      </a:accent5>
      <a:accent6>
        <a:srgbClr val="78716E"/>
      </a:accent6>
      <a:hlink>
        <a:srgbClr val="000000"/>
      </a:hlink>
      <a:folHlink>
        <a:srgbClr val="000000"/>
      </a:folHlink>
    </a:clrScheme>
    <a:fontScheme name="Aptos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custClrLst>
    <a:custClr name="Warm Gray">
      <a:srgbClr val="6E6259"/>
    </a:custClr>
    <a:custClr name="Warm Gray 90%">
      <a:srgbClr val="7B7168"/>
    </a:custClr>
    <a:custClr name="Warm Gray">
      <a:srgbClr val="6E6259"/>
    </a:custClr>
    <a:custClr name="Warm Gray 80%">
      <a:srgbClr val="8B807C"/>
    </a:custClr>
    <a:custClr name="Warm Gray 70%">
      <a:srgbClr val="9C918C"/>
    </a:custClr>
    <a:custClr name="Warm Gray 60%">
      <a:srgbClr val="A9A09B"/>
    </a:custClr>
    <a:custClr name="Warm Gray 50%">
      <a:srgbClr val="B6B1AE"/>
    </a:custClr>
    <a:custClr name="Warm Gray 40%">
      <a:srgbClr val="C5C0BD"/>
    </a:custClr>
    <a:custClr name="Warm Gray 30%">
      <a:srgbClr val="D4D0CD"/>
    </a:custClr>
    <a:custClr name="Warm Gray 20%">
      <a:srgbClr val="E2E0DE"/>
    </a:custClr>
    <a:custClr name="Warm Gray 10%">
      <a:srgbClr val="F1EFED"/>
    </a:custClr>
    <a:custClr name="Hero Red">
      <a:srgbClr val="F9423A"/>
    </a:custClr>
    <a:custClr name="Maroon">
      <a:srgbClr val="64302F"/>
    </a:custClr>
    <a:custClr name="Peach">
      <a:srgbClr val="EACBBB"/>
    </a:custClr>
    <a:custClr name="Peach 40%">
      <a:srgbClr val="F7EAE4"/>
    </a:custClr>
    <a:custClr name="Peach 30%">
      <a:srgbClr val="FAF5F1"/>
    </a:custClr>
    <a:custClr name="Peach 20%">
      <a:srgbClr val="FCF8F5"/>
    </a:custClr>
    <a:custClr name="Peach 10%">
      <a:srgbClr val="FEFAF9"/>
    </a:custClr>
    <a:custClr name="White">
      <a:srgbClr val="FFFFFF"/>
    </a:custClr>
    <a:custClr name="CTA Yellow">
      <a:srgbClr val="E9EC6B"/>
    </a:custClr>
    <a:custClr name="Warm Gray 5%">
      <a:srgbClr val="F9F6F8"/>
    </a:custClr>
    <a:custClr name="Cool Gray">
      <a:srgbClr val="52565A"/>
    </a:custClr>
    <a:custClr name="Cool Gray 90%">
      <a:srgbClr val="63676A"/>
    </a:custClr>
    <a:custClr name="Cool Gray 80%">
      <a:srgbClr val="74787B"/>
    </a:custClr>
    <a:custClr name="Cool Gray 70%">
      <a:srgbClr val="86888B"/>
    </a:custClr>
    <a:custClr name="Cool Gray 60%">
      <a:srgbClr val="989A9C"/>
    </a:custClr>
    <a:custClr name="Cool Gray 50%">
      <a:srgbClr val="A9AAAC"/>
    </a:custClr>
    <a:custClr name="Cool Gray 40%">
      <a:srgbClr val="CBCCCD"/>
    </a:custClr>
    <a:custClr name="Cool Gray 30%">
      <a:srgbClr val="D4D5D5"/>
    </a:custClr>
    <a:custClr name="Cool Gray 20%">
      <a:srgbClr val="DDDDDE"/>
    </a:custClr>
    <a:custClr name="Cool Gray 10%">
      <a:srgbClr val="EDEEEE"/>
    </a:custClr>
    <a:custClr name="Black">
      <a:srgbClr val="000000"/>
    </a:custClr>
    <a:custClr name="Dark Blue">
      <a:srgbClr val="0C1D48"/>
    </a:custClr>
    <a:custClr name="Hero Blue">
      <a:srgbClr val="280071"/>
    </a:custClr>
    <a:custClr name="Violet">
      <a:srgbClr val="B1B5CE"/>
    </a:custClr>
    <a:custClr name="Violet 40%">
      <a:srgbClr val="E0E1EB"/>
    </a:custClr>
    <a:custClr name="Violet 30%">
      <a:srgbClr val="E7E9F0"/>
    </a:custClr>
    <a:custClr name="Violet 20%">
      <a:srgbClr val="EFF1F5"/>
    </a:custClr>
    <a:custClr name="Violet 10%">
      <a:srgbClr val="F8F7FF"/>
    </a:custClr>
    <a:custClr name="CTA Green">
      <a:srgbClr val="26D07C"/>
    </a:custClr>
    <a:custClr name="Cool Gray 5%">
      <a:srgbClr val="F6F6F8"/>
    </a:custClr>
  </a:custClrLst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4F46D-72B1-4EFC-B4E1-BA228E280DF4}">
  <dimension ref="A1:P169"/>
  <sheetViews>
    <sheetView tabSelected="1" topLeftCell="I12" workbookViewId="0">
      <selection activeCell="J16" sqref="J16:K16"/>
    </sheetView>
  </sheetViews>
  <sheetFormatPr defaultRowHeight="15.7" x14ac:dyDescent="0.55000000000000004"/>
  <cols>
    <col min="1" max="1" width="19.7890625" customWidth="1"/>
    <col min="2" max="3" width="30.41796875" style="2" customWidth="1"/>
    <col min="4" max="5" width="8.83984375" customWidth="1"/>
    <col min="6" max="6" width="10" customWidth="1"/>
    <col min="7" max="7" width="9.5234375" customWidth="1"/>
    <col min="8" max="8" width="24.62890625" customWidth="1"/>
    <col min="9" max="9" width="29.20703125" customWidth="1"/>
    <col min="10" max="10" width="51.734375" customWidth="1"/>
    <col min="11" max="11" width="55.578125" customWidth="1"/>
  </cols>
  <sheetData>
    <row r="1" spans="1:16" x14ac:dyDescent="0.55000000000000004">
      <c r="A1" t="s">
        <v>1</v>
      </c>
      <c r="B1" s="2" t="s">
        <v>185</v>
      </c>
      <c r="C1" s="2" t="s">
        <v>470</v>
      </c>
      <c r="D1" t="s">
        <v>466</v>
      </c>
      <c r="E1" t="s">
        <v>467</v>
      </c>
      <c r="F1" t="s">
        <v>464</v>
      </c>
      <c r="G1" t="s">
        <v>465</v>
      </c>
      <c r="H1" t="s">
        <v>5</v>
      </c>
      <c r="I1" t="s">
        <v>2</v>
      </c>
      <c r="J1" t="s">
        <v>471</v>
      </c>
      <c r="K1" t="s">
        <v>472</v>
      </c>
      <c r="L1" t="s">
        <v>729</v>
      </c>
      <c r="M1" t="s">
        <v>729</v>
      </c>
      <c r="N1" t="s">
        <v>730</v>
      </c>
      <c r="O1" t="s">
        <v>504</v>
      </c>
      <c r="P1" t="s">
        <v>731</v>
      </c>
    </row>
    <row r="2" spans="1:16" x14ac:dyDescent="0.55000000000000004">
      <c r="A2">
        <v>2</v>
      </c>
      <c r="B2" s="2">
        <v>1</v>
      </c>
      <c r="C2" s="2">
        <f t="shared" ref="C2:C33" si="0">IF(G2=0,-2,2)</f>
        <v>-2</v>
      </c>
      <c r="D2">
        <f t="shared" ref="D2:D33" si="1">B2*(B2*A2+2)</f>
        <v>4</v>
      </c>
      <c r="E2">
        <f t="shared" ref="E2:E33" si="2">B2*(B2*A2-2)</f>
        <v>0</v>
      </c>
      <c r="F2">
        <f t="shared" ref="F2:F33" si="3">SQRT(D2)-_xlfn.FLOOR.MATH(SQRT(D2))</f>
        <v>0</v>
      </c>
      <c r="G2">
        <f t="shared" ref="G2:G33" si="4">SQRT(E2)-_xlfn.FLOOR.MATH(SQRT(E2))</f>
        <v>0</v>
      </c>
      <c r="H2">
        <f t="shared" ref="H2:H33" si="5">IF(G2=0,B2*A2-1,B2*A2+1)</f>
        <v>1</v>
      </c>
      <c r="I2">
        <f t="shared" ref="I2:I33" si="6">SQRT((H2*H2-1)/A2)</f>
        <v>0</v>
      </c>
      <c r="J2" s="10" t="s">
        <v>507</v>
      </c>
      <c r="K2" s="3" t="s">
        <v>507</v>
      </c>
      <c r="L2">
        <f t="shared" ref="L2" si="7">LEN(J2)-LEN(SUBSTITUTE(J2,"2",""))</f>
        <v>0</v>
      </c>
      <c r="M2">
        <f t="shared" ref="M2" si="8">LEN(K2)-LEN(SUBSTITUTE(K2,"2",""))</f>
        <v>0</v>
      </c>
      <c r="N2">
        <f>L2+M2</f>
        <v>0</v>
      </c>
    </row>
    <row r="3" spans="1:16" x14ac:dyDescent="0.55000000000000004">
      <c r="A3">
        <v>3</v>
      </c>
      <c r="B3" s="2">
        <v>1</v>
      </c>
      <c r="C3" s="2">
        <f t="shared" si="0"/>
        <v>-2</v>
      </c>
      <c r="D3">
        <f t="shared" si="1"/>
        <v>5</v>
      </c>
      <c r="E3">
        <f t="shared" si="2"/>
        <v>1</v>
      </c>
      <c r="F3">
        <f t="shared" si="3"/>
        <v>0.23606797749978981</v>
      </c>
      <c r="G3">
        <f t="shared" si="4"/>
        <v>0</v>
      </c>
      <c r="H3">
        <f t="shared" si="5"/>
        <v>2</v>
      </c>
      <c r="I3">
        <f t="shared" si="6"/>
        <v>1</v>
      </c>
      <c r="J3" s="10" t="s">
        <v>507</v>
      </c>
      <c r="K3" s="3" t="s">
        <v>507</v>
      </c>
      <c r="L3">
        <f t="shared" ref="L3:L66" si="9">LEN(J3)-LEN(SUBSTITUTE(J3,"2",""))</f>
        <v>0</v>
      </c>
      <c r="M3">
        <f t="shared" ref="M3:M66" si="10">LEN(K3)-LEN(SUBSTITUTE(K3,"2",""))</f>
        <v>0</v>
      </c>
      <c r="N3">
        <f t="shared" ref="N3:N66" si="11">L3+M3</f>
        <v>0</v>
      </c>
    </row>
    <row r="4" spans="1:16" x14ac:dyDescent="0.55000000000000004">
      <c r="A4">
        <v>7</v>
      </c>
      <c r="B4" s="2">
        <v>1</v>
      </c>
      <c r="C4" s="2">
        <f t="shared" si="0"/>
        <v>2</v>
      </c>
      <c r="D4">
        <f t="shared" si="1"/>
        <v>9</v>
      </c>
      <c r="E4">
        <f t="shared" si="2"/>
        <v>5</v>
      </c>
      <c r="F4">
        <f t="shared" si="3"/>
        <v>0</v>
      </c>
      <c r="G4">
        <f t="shared" si="4"/>
        <v>0.23606797749978981</v>
      </c>
      <c r="H4">
        <f t="shared" si="5"/>
        <v>8</v>
      </c>
      <c r="I4">
        <f t="shared" si="6"/>
        <v>3</v>
      </c>
      <c r="J4" s="10" t="s">
        <v>507</v>
      </c>
      <c r="K4" s="3" t="s">
        <v>509</v>
      </c>
      <c r="L4">
        <f t="shared" si="9"/>
        <v>0</v>
      </c>
      <c r="M4">
        <f t="shared" si="10"/>
        <v>0</v>
      </c>
      <c r="N4">
        <f t="shared" si="11"/>
        <v>0</v>
      </c>
    </row>
    <row r="5" spans="1:16" x14ac:dyDescent="0.55000000000000004">
      <c r="A5">
        <v>5</v>
      </c>
      <c r="B5" s="2">
        <v>2</v>
      </c>
      <c r="C5" s="2">
        <f t="shared" si="0"/>
        <v>-2</v>
      </c>
      <c r="D5">
        <f t="shared" si="1"/>
        <v>24</v>
      </c>
      <c r="E5">
        <f t="shared" si="2"/>
        <v>16</v>
      </c>
      <c r="F5">
        <f t="shared" si="3"/>
        <v>0.89897948556635576</v>
      </c>
      <c r="G5">
        <f t="shared" si="4"/>
        <v>0</v>
      </c>
      <c r="H5">
        <f t="shared" si="5"/>
        <v>9</v>
      </c>
      <c r="I5">
        <f t="shared" si="6"/>
        <v>4</v>
      </c>
      <c r="J5" s="10" t="s">
        <v>505</v>
      </c>
      <c r="K5" s="3" t="s">
        <v>607</v>
      </c>
      <c r="L5">
        <f t="shared" si="9"/>
        <v>1</v>
      </c>
      <c r="M5">
        <f t="shared" si="10"/>
        <v>3</v>
      </c>
      <c r="N5">
        <f t="shared" si="11"/>
        <v>4</v>
      </c>
    </row>
    <row r="6" spans="1:16" x14ac:dyDescent="0.55000000000000004">
      <c r="A6">
        <v>11</v>
      </c>
      <c r="B6" s="2">
        <v>1</v>
      </c>
      <c r="C6" s="2">
        <f t="shared" si="0"/>
        <v>-2</v>
      </c>
      <c r="D6">
        <f t="shared" si="1"/>
        <v>13</v>
      </c>
      <c r="E6">
        <f t="shared" si="2"/>
        <v>9</v>
      </c>
      <c r="F6">
        <f t="shared" si="3"/>
        <v>0.60555127546398912</v>
      </c>
      <c r="G6">
        <f t="shared" si="4"/>
        <v>0</v>
      </c>
      <c r="H6">
        <f t="shared" si="5"/>
        <v>10</v>
      </c>
      <c r="I6">
        <f t="shared" si="6"/>
        <v>3</v>
      </c>
      <c r="J6" s="10" t="s">
        <v>507</v>
      </c>
      <c r="K6" s="3" t="s">
        <v>509</v>
      </c>
      <c r="L6">
        <f t="shared" si="9"/>
        <v>0</v>
      </c>
      <c r="M6">
        <f t="shared" si="10"/>
        <v>0</v>
      </c>
      <c r="N6">
        <f t="shared" si="11"/>
        <v>0</v>
      </c>
    </row>
    <row r="7" spans="1:16" x14ac:dyDescent="0.55000000000000004">
      <c r="A7">
        <v>23</v>
      </c>
      <c r="B7" s="2">
        <v>1</v>
      </c>
      <c r="C7" s="2">
        <f t="shared" si="0"/>
        <v>2</v>
      </c>
      <c r="D7">
        <f t="shared" si="1"/>
        <v>25</v>
      </c>
      <c r="E7">
        <f t="shared" si="2"/>
        <v>21</v>
      </c>
      <c r="F7">
        <f t="shared" si="3"/>
        <v>0</v>
      </c>
      <c r="G7">
        <f t="shared" si="4"/>
        <v>0.58257569495583983</v>
      </c>
      <c r="H7">
        <f t="shared" si="5"/>
        <v>24</v>
      </c>
      <c r="I7">
        <f t="shared" si="6"/>
        <v>5</v>
      </c>
      <c r="J7" s="10" t="s">
        <v>507</v>
      </c>
      <c r="K7" s="3" t="s">
        <v>611</v>
      </c>
      <c r="L7">
        <f t="shared" si="9"/>
        <v>0</v>
      </c>
      <c r="M7">
        <f t="shared" si="10"/>
        <v>0</v>
      </c>
      <c r="N7">
        <f t="shared" si="11"/>
        <v>0</v>
      </c>
    </row>
    <row r="8" spans="1:16" x14ac:dyDescent="0.55000000000000004">
      <c r="A8">
        <v>17</v>
      </c>
      <c r="B8" s="2">
        <v>2</v>
      </c>
      <c r="C8" s="2">
        <f t="shared" si="0"/>
        <v>-2</v>
      </c>
      <c r="D8">
        <f t="shared" si="1"/>
        <v>72</v>
      </c>
      <c r="E8">
        <f t="shared" si="2"/>
        <v>64</v>
      </c>
      <c r="F8">
        <f t="shared" si="3"/>
        <v>0.48528137423856954</v>
      </c>
      <c r="G8">
        <f t="shared" si="4"/>
        <v>0</v>
      </c>
      <c r="H8">
        <f t="shared" si="5"/>
        <v>33</v>
      </c>
      <c r="I8">
        <f t="shared" si="6"/>
        <v>8</v>
      </c>
      <c r="J8" s="10" t="s">
        <v>505</v>
      </c>
      <c r="K8" s="3" t="s">
        <v>609</v>
      </c>
      <c r="L8">
        <f t="shared" si="9"/>
        <v>1</v>
      </c>
      <c r="M8">
        <f t="shared" si="10"/>
        <v>5</v>
      </c>
      <c r="N8">
        <f t="shared" si="11"/>
        <v>6</v>
      </c>
    </row>
    <row r="9" spans="1:16" x14ac:dyDescent="0.55000000000000004">
      <c r="A9">
        <v>47</v>
      </c>
      <c r="B9" s="2">
        <v>1</v>
      </c>
      <c r="C9" s="2">
        <f t="shared" si="0"/>
        <v>2</v>
      </c>
      <c r="D9">
        <f t="shared" si="1"/>
        <v>49</v>
      </c>
      <c r="E9">
        <f t="shared" si="2"/>
        <v>45</v>
      </c>
      <c r="F9">
        <f t="shared" si="3"/>
        <v>0</v>
      </c>
      <c r="G9">
        <f t="shared" si="4"/>
        <v>0.70820393249936942</v>
      </c>
      <c r="H9">
        <f t="shared" si="5"/>
        <v>48</v>
      </c>
      <c r="I9">
        <f t="shared" si="6"/>
        <v>7</v>
      </c>
      <c r="J9" s="10" t="s">
        <v>507</v>
      </c>
      <c r="K9" s="3" t="s">
        <v>511</v>
      </c>
      <c r="L9">
        <f t="shared" si="9"/>
        <v>0</v>
      </c>
      <c r="M9">
        <f t="shared" si="10"/>
        <v>0</v>
      </c>
      <c r="N9">
        <f t="shared" si="11"/>
        <v>0</v>
      </c>
    </row>
    <row r="10" spans="1:16" x14ac:dyDescent="0.55000000000000004">
      <c r="A10">
        <v>37</v>
      </c>
      <c r="B10" s="2">
        <v>2</v>
      </c>
      <c r="C10" s="2">
        <f t="shared" si="0"/>
        <v>-2</v>
      </c>
      <c r="D10">
        <f t="shared" si="1"/>
        <v>152</v>
      </c>
      <c r="E10">
        <f t="shared" si="2"/>
        <v>144</v>
      </c>
      <c r="F10">
        <f t="shared" si="3"/>
        <v>0.32882800593795203</v>
      </c>
      <c r="G10">
        <f t="shared" si="4"/>
        <v>0</v>
      </c>
      <c r="H10">
        <f t="shared" si="5"/>
        <v>73</v>
      </c>
      <c r="I10">
        <f t="shared" si="6"/>
        <v>12</v>
      </c>
      <c r="J10" s="10" t="s">
        <v>505</v>
      </c>
      <c r="K10" s="3" t="s">
        <v>614</v>
      </c>
      <c r="L10">
        <f t="shared" si="9"/>
        <v>1</v>
      </c>
      <c r="M10">
        <f t="shared" si="10"/>
        <v>3</v>
      </c>
      <c r="N10">
        <f t="shared" si="11"/>
        <v>4</v>
      </c>
    </row>
    <row r="11" spans="1:16" x14ac:dyDescent="0.55000000000000004">
      <c r="A11">
        <v>79</v>
      </c>
      <c r="B11" s="2">
        <v>1</v>
      </c>
      <c r="C11" s="2">
        <f t="shared" si="0"/>
        <v>2</v>
      </c>
      <c r="D11">
        <f t="shared" si="1"/>
        <v>81</v>
      </c>
      <c r="E11">
        <f t="shared" si="2"/>
        <v>77</v>
      </c>
      <c r="F11">
        <f t="shared" si="3"/>
        <v>0</v>
      </c>
      <c r="G11">
        <f t="shared" si="4"/>
        <v>0.77496438739212259</v>
      </c>
      <c r="H11">
        <f t="shared" si="5"/>
        <v>80</v>
      </c>
      <c r="I11">
        <f t="shared" si="6"/>
        <v>9</v>
      </c>
      <c r="J11" s="10" t="s">
        <v>507</v>
      </c>
      <c r="K11" s="3" t="s">
        <v>512</v>
      </c>
      <c r="L11">
        <f t="shared" si="9"/>
        <v>0</v>
      </c>
      <c r="M11">
        <f t="shared" si="10"/>
        <v>0</v>
      </c>
      <c r="N11">
        <f t="shared" si="11"/>
        <v>0</v>
      </c>
    </row>
    <row r="12" spans="1:16" x14ac:dyDescent="0.55000000000000004">
      <c r="A12">
        <v>83</v>
      </c>
      <c r="B12" s="2">
        <v>1</v>
      </c>
      <c r="C12" s="2">
        <f t="shared" si="0"/>
        <v>-2</v>
      </c>
      <c r="D12">
        <f t="shared" si="1"/>
        <v>85</v>
      </c>
      <c r="E12">
        <f t="shared" si="2"/>
        <v>81</v>
      </c>
      <c r="F12">
        <f t="shared" si="3"/>
        <v>0.21954445729288707</v>
      </c>
      <c r="G12">
        <f t="shared" si="4"/>
        <v>0</v>
      </c>
      <c r="H12">
        <f t="shared" si="5"/>
        <v>82</v>
      </c>
      <c r="I12">
        <f t="shared" si="6"/>
        <v>9</v>
      </c>
      <c r="J12" s="10" t="s">
        <v>507</v>
      </c>
      <c r="K12" s="3" t="s">
        <v>512</v>
      </c>
      <c r="L12">
        <f t="shared" si="9"/>
        <v>0</v>
      </c>
      <c r="M12">
        <f t="shared" si="10"/>
        <v>0</v>
      </c>
      <c r="N12">
        <f t="shared" si="11"/>
        <v>0</v>
      </c>
    </row>
    <row r="13" spans="1:16" x14ac:dyDescent="0.55000000000000004">
      <c r="A13">
        <v>167</v>
      </c>
      <c r="B13" s="2">
        <v>1</v>
      </c>
      <c r="C13" s="2">
        <f t="shared" si="0"/>
        <v>2</v>
      </c>
      <c r="D13">
        <f t="shared" si="1"/>
        <v>169</v>
      </c>
      <c r="E13">
        <f t="shared" si="2"/>
        <v>165</v>
      </c>
      <c r="F13">
        <f t="shared" si="3"/>
        <v>0</v>
      </c>
      <c r="G13">
        <f t="shared" si="4"/>
        <v>0.84523257866512935</v>
      </c>
      <c r="H13">
        <f t="shared" si="5"/>
        <v>168</v>
      </c>
      <c r="I13">
        <f t="shared" si="6"/>
        <v>13</v>
      </c>
      <c r="J13" s="10" t="s">
        <v>507</v>
      </c>
      <c r="K13" s="3" t="s">
        <v>610</v>
      </c>
      <c r="L13">
        <f t="shared" si="9"/>
        <v>0</v>
      </c>
      <c r="M13">
        <f t="shared" si="10"/>
        <v>0</v>
      </c>
      <c r="N13">
        <f t="shared" si="11"/>
        <v>0</v>
      </c>
    </row>
    <row r="14" spans="1:16" x14ac:dyDescent="0.55000000000000004">
      <c r="A14">
        <v>19</v>
      </c>
      <c r="B14" s="2">
        <v>9</v>
      </c>
      <c r="C14" s="2">
        <f t="shared" si="0"/>
        <v>-2</v>
      </c>
      <c r="D14">
        <f t="shared" si="1"/>
        <v>1557</v>
      </c>
      <c r="E14">
        <f t="shared" si="2"/>
        <v>1521</v>
      </c>
      <c r="F14">
        <f t="shared" si="3"/>
        <v>0.45883931389771959</v>
      </c>
      <c r="G14">
        <f t="shared" si="4"/>
        <v>0</v>
      </c>
      <c r="H14">
        <f t="shared" si="5"/>
        <v>170</v>
      </c>
      <c r="I14">
        <f t="shared" si="6"/>
        <v>39</v>
      </c>
      <c r="J14" s="10" t="s">
        <v>509</v>
      </c>
      <c r="K14" s="3" t="s">
        <v>610</v>
      </c>
      <c r="L14">
        <f t="shared" si="9"/>
        <v>0</v>
      </c>
      <c r="M14">
        <f t="shared" si="10"/>
        <v>0</v>
      </c>
      <c r="N14">
        <f t="shared" si="11"/>
        <v>0</v>
      </c>
    </row>
    <row r="15" spans="1:16" x14ac:dyDescent="0.55000000000000004">
      <c r="A15">
        <v>101</v>
      </c>
      <c r="B15" s="2">
        <v>2</v>
      </c>
      <c r="C15" s="2">
        <f t="shared" si="0"/>
        <v>-2</v>
      </c>
      <c r="D15">
        <f t="shared" si="1"/>
        <v>408</v>
      </c>
      <c r="E15">
        <f t="shared" si="2"/>
        <v>400</v>
      </c>
      <c r="F15">
        <f t="shared" si="3"/>
        <v>0.19900987672415482</v>
      </c>
      <c r="G15">
        <f t="shared" si="4"/>
        <v>0</v>
      </c>
      <c r="H15">
        <f t="shared" si="5"/>
        <v>201</v>
      </c>
      <c r="I15">
        <f t="shared" si="6"/>
        <v>20</v>
      </c>
      <c r="J15" s="10" t="s">
        <v>505</v>
      </c>
      <c r="K15" s="3" t="s">
        <v>622</v>
      </c>
      <c r="L15">
        <f t="shared" si="9"/>
        <v>1</v>
      </c>
      <c r="M15">
        <f t="shared" si="10"/>
        <v>3</v>
      </c>
      <c r="N15">
        <f t="shared" si="11"/>
        <v>4</v>
      </c>
    </row>
    <row r="16" spans="1:16" x14ac:dyDescent="0.55000000000000004">
      <c r="A16">
        <v>223</v>
      </c>
      <c r="B16" s="2">
        <v>1</v>
      </c>
      <c r="C16" s="2">
        <f t="shared" si="0"/>
        <v>2</v>
      </c>
      <c r="D16">
        <f t="shared" si="1"/>
        <v>225</v>
      </c>
      <c r="E16">
        <f t="shared" si="2"/>
        <v>221</v>
      </c>
      <c r="F16">
        <f t="shared" si="3"/>
        <v>0</v>
      </c>
      <c r="G16">
        <f t="shared" si="4"/>
        <v>0.86606874731850603</v>
      </c>
      <c r="H16">
        <f t="shared" si="5"/>
        <v>224</v>
      </c>
      <c r="I16">
        <f t="shared" si="6"/>
        <v>15</v>
      </c>
      <c r="J16" s="10" t="s">
        <v>507</v>
      </c>
      <c r="K16" s="3" t="s">
        <v>642</v>
      </c>
      <c r="L16">
        <f t="shared" si="9"/>
        <v>0</v>
      </c>
      <c r="M16">
        <f t="shared" si="10"/>
        <v>0</v>
      </c>
      <c r="N16">
        <f t="shared" si="11"/>
        <v>0</v>
      </c>
    </row>
    <row r="17" spans="1:14" x14ac:dyDescent="0.55000000000000004">
      <c r="A17">
        <v>227</v>
      </c>
      <c r="B17" s="2">
        <v>1</v>
      </c>
      <c r="C17" s="2">
        <f t="shared" si="0"/>
        <v>-2</v>
      </c>
      <c r="D17">
        <f t="shared" si="1"/>
        <v>229</v>
      </c>
      <c r="E17">
        <f t="shared" si="2"/>
        <v>225</v>
      </c>
      <c r="F17">
        <f t="shared" si="3"/>
        <v>0.13274595042155646</v>
      </c>
      <c r="G17">
        <f t="shared" si="4"/>
        <v>0</v>
      </c>
      <c r="H17">
        <f t="shared" si="5"/>
        <v>226</v>
      </c>
      <c r="I17">
        <f t="shared" si="6"/>
        <v>15</v>
      </c>
      <c r="J17" s="10" t="s">
        <v>507</v>
      </c>
      <c r="K17" s="3" t="s">
        <v>642</v>
      </c>
      <c r="L17">
        <f t="shared" si="9"/>
        <v>0</v>
      </c>
      <c r="M17">
        <f t="shared" si="10"/>
        <v>0</v>
      </c>
      <c r="N17">
        <f t="shared" si="11"/>
        <v>0</v>
      </c>
    </row>
    <row r="18" spans="1:14" x14ac:dyDescent="0.55000000000000004">
      <c r="A18">
        <v>359</v>
      </c>
      <c r="B18" s="2">
        <v>1</v>
      </c>
      <c r="C18" s="2">
        <f t="shared" si="0"/>
        <v>2</v>
      </c>
      <c r="D18">
        <f t="shared" si="1"/>
        <v>361</v>
      </c>
      <c r="E18">
        <f t="shared" si="2"/>
        <v>357</v>
      </c>
      <c r="F18">
        <f t="shared" si="3"/>
        <v>0</v>
      </c>
      <c r="G18">
        <f t="shared" si="4"/>
        <v>0.89444362769118513</v>
      </c>
      <c r="H18">
        <f t="shared" si="5"/>
        <v>360</v>
      </c>
      <c r="I18">
        <f t="shared" si="6"/>
        <v>19</v>
      </c>
      <c r="J18" s="10" t="s">
        <v>507</v>
      </c>
      <c r="K18" s="3" t="s">
        <v>664</v>
      </c>
      <c r="L18">
        <f t="shared" si="9"/>
        <v>0</v>
      </c>
      <c r="M18">
        <f t="shared" si="10"/>
        <v>0</v>
      </c>
      <c r="N18">
        <f t="shared" si="11"/>
        <v>0</v>
      </c>
    </row>
    <row r="19" spans="1:14" x14ac:dyDescent="0.55000000000000004">
      <c r="A19">
        <v>197</v>
      </c>
      <c r="B19" s="2">
        <v>2</v>
      </c>
      <c r="C19" s="2">
        <f t="shared" si="0"/>
        <v>-2</v>
      </c>
      <c r="D19">
        <f t="shared" si="1"/>
        <v>792</v>
      </c>
      <c r="E19">
        <f t="shared" si="2"/>
        <v>784</v>
      </c>
      <c r="F19">
        <f t="shared" si="3"/>
        <v>0.14249455894057661</v>
      </c>
      <c r="G19">
        <f t="shared" si="4"/>
        <v>0</v>
      </c>
      <c r="H19">
        <f t="shared" si="5"/>
        <v>393</v>
      </c>
      <c r="I19">
        <f t="shared" si="6"/>
        <v>28</v>
      </c>
      <c r="J19" s="3" t="s">
        <v>505</v>
      </c>
      <c r="K19" s="3" t="s">
        <v>639</v>
      </c>
      <c r="L19">
        <f t="shared" si="9"/>
        <v>1</v>
      </c>
      <c r="M19">
        <f t="shared" si="10"/>
        <v>3</v>
      </c>
      <c r="N19">
        <f t="shared" si="11"/>
        <v>4</v>
      </c>
    </row>
    <row r="20" spans="1:14" x14ac:dyDescent="0.55000000000000004">
      <c r="A20">
        <v>439</v>
      </c>
      <c r="B20" s="2">
        <v>1</v>
      </c>
      <c r="C20" s="2">
        <f t="shared" si="0"/>
        <v>2</v>
      </c>
      <c r="D20">
        <f t="shared" si="1"/>
        <v>441</v>
      </c>
      <c r="E20">
        <f t="shared" si="2"/>
        <v>437</v>
      </c>
      <c r="F20">
        <f t="shared" si="3"/>
        <v>0</v>
      </c>
      <c r="G20">
        <f t="shared" si="4"/>
        <v>0.9045449603668736</v>
      </c>
      <c r="H20">
        <f t="shared" si="5"/>
        <v>440</v>
      </c>
      <c r="I20">
        <f t="shared" si="6"/>
        <v>21</v>
      </c>
      <c r="J20" s="10" t="s">
        <v>507</v>
      </c>
      <c r="K20" s="3" t="s">
        <v>673</v>
      </c>
      <c r="L20">
        <f t="shared" si="9"/>
        <v>0</v>
      </c>
      <c r="M20">
        <f t="shared" si="10"/>
        <v>0</v>
      </c>
      <c r="N20">
        <f t="shared" si="11"/>
        <v>0</v>
      </c>
    </row>
    <row r="21" spans="1:14" x14ac:dyDescent="0.55000000000000004">
      <c r="A21">
        <v>443</v>
      </c>
      <c r="B21" s="2">
        <v>1</v>
      </c>
      <c r="C21" s="2">
        <f t="shared" si="0"/>
        <v>-2</v>
      </c>
      <c r="D21">
        <f t="shared" si="1"/>
        <v>445</v>
      </c>
      <c r="E21">
        <f t="shared" si="2"/>
        <v>441</v>
      </c>
      <c r="F21">
        <f t="shared" si="3"/>
        <v>9.5023109728987976E-2</v>
      </c>
      <c r="G21">
        <f t="shared" si="4"/>
        <v>0</v>
      </c>
      <c r="H21">
        <f t="shared" si="5"/>
        <v>442</v>
      </c>
      <c r="I21">
        <f t="shared" si="6"/>
        <v>21</v>
      </c>
      <c r="J21" s="10" t="s">
        <v>507</v>
      </c>
      <c r="K21" s="3" t="s">
        <v>673</v>
      </c>
      <c r="L21">
        <f t="shared" si="9"/>
        <v>0</v>
      </c>
      <c r="M21">
        <f t="shared" si="10"/>
        <v>0</v>
      </c>
      <c r="N21">
        <f t="shared" si="11"/>
        <v>0</v>
      </c>
    </row>
    <row r="22" spans="1:14" x14ac:dyDescent="0.55000000000000004">
      <c r="A22">
        <v>257</v>
      </c>
      <c r="B22" s="2">
        <v>2</v>
      </c>
      <c r="C22" s="2">
        <f t="shared" si="0"/>
        <v>-2</v>
      </c>
      <c r="D22">
        <f t="shared" si="1"/>
        <v>1032</v>
      </c>
      <c r="E22">
        <f t="shared" si="2"/>
        <v>1024</v>
      </c>
      <c r="F22">
        <f t="shared" si="3"/>
        <v>0.12475680841802017</v>
      </c>
      <c r="G22">
        <f t="shared" si="4"/>
        <v>0</v>
      </c>
      <c r="H22">
        <f t="shared" si="5"/>
        <v>513</v>
      </c>
      <c r="I22">
        <f t="shared" si="6"/>
        <v>32</v>
      </c>
      <c r="J22" s="10" t="s">
        <v>505</v>
      </c>
      <c r="K22" s="3" t="s">
        <v>648</v>
      </c>
      <c r="L22">
        <f t="shared" si="9"/>
        <v>1</v>
      </c>
      <c r="M22">
        <f t="shared" si="10"/>
        <v>9</v>
      </c>
      <c r="N22">
        <f t="shared" si="11"/>
        <v>10</v>
      </c>
    </row>
    <row r="23" spans="1:14" x14ac:dyDescent="0.55000000000000004">
      <c r="A23">
        <v>59</v>
      </c>
      <c r="B23" s="2">
        <v>9</v>
      </c>
      <c r="C23" s="2">
        <f t="shared" si="0"/>
        <v>-2</v>
      </c>
      <c r="D23">
        <f t="shared" si="1"/>
        <v>4797</v>
      </c>
      <c r="E23">
        <f t="shared" si="2"/>
        <v>4761</v>
      </c>
      <c r="F23">
        <f t="shared" si="3"/>
        <v>0.26037828369116767</v>
      </c>
      <c r="G23">
        <f t="shared" si="4"/>
        <v>0</v>
      </c>
      <c r="H23">
        <f t="shared" si="5"/>
        <v>530</v>
      </c>
      <c r="I23">
        <f t="shared" si="6"/>
        <v>69</v>
      </c>
      <c r="J23" s="10" t="s">
        <v>509</v>
      </c>
      <c r="K23" s="3" t="s">
        <v>541</v>
      </c>
      <c r="L23">
        <f t="shared" si="9"/>
        <v>0</v>
      </c>
      <c r="M23">
        <v>0</v>
      </c>
      <c r="N23">
        <f t="shared" si="11"/>
        <v>0</v>
      </c>
    </row>
    <row r="24" spans="1:14" x14ac:dyDescent="0.55000000000000004">
      <c r="A24">
        <v>13</v>
      </c>
      <c r="B24" s="2">
        <v>50</v>
      </c>
      <c r="C24" s="2">
        <f t="shared" si="0"/>
        <v>-2</v>
      </c>
      <c r="D24">
        <f t="shared" si="1"/>
        <v>32600</v>
      </c>
      <c r="E24">
        <f t="shared" si="2"/>
        <v>32400</v>
      </c>
      <c r="F24">
        <f t="shared" si="3"/>
        <v>0.55470085267788249</v>
      </c>
      <c r="G24">
        <f t="shared" si="4"/>
        <v>0</v>
      </c>
      <c r="H24">
        <f t="shared" si="5"/>
        <v>649</v>
      </c>
      <c r="I24">
        <f t="shared" si="6"/>
        <v>180</v>
      </c>
      <c r="J24" s="10" t="s">
        <v>508</v>
      </c>
      <c r="K24" s="3" t="s">
        <v>608</v>
      </c>
      <c r="L24">
        <f t="shared" si="9"/>
        <v>1</v>
      </c>
      <c r="M24">
        <f t="shared" si="10"/>
        <v>3</v>
      </c>
      <c r="N24">
        <f t="shared" si="11"/>
        <v>4</v>
      </c>
    </row>
    <row r="25" spans="1:14" x14ac:dyDescent="0.55000000000000004">
      <c r="A25">
        <v>727</v>
      </c>
      <c r="B25" s="2">
        <v>1</v>
      </c>
      <c r="C25" s="2">
        <f t="shared" si="0"/>
        <v>2</v>
      </c>
      <c r="D25">
        <f t="shared" si="1"/>
        <v>729</v>
      </c>
      <c r="E25">
        <f t="shared" si="2"/>
        <v>725</v>
      </c>
      <c r="F25">
        <f t="shared" si="3"/>
        <v>0</v>
      </c>
      <c r="G25">
        <f t="shared" si="4"/>
        <v>0.92582403567251959</v>
      </c>
      <c r="H25">
        <f t="shared" si="5"/>
        <v>728</v>
      </c>
      <c r="I25">
        <f t="shared" si="6"/>
        <v>27</v>
      </c>
      <c r="J25" s="10" t="s">
        <v>507</v>
      </c>
      <c r="K25" s="3" t="s">
        <v>515</v>
      </c>
      <c r="L25">
        <f t="shared" si="9"/>
        <v>0</v>
      </c>
      <c r="M25">
        <f t="shared" si="10"/>
        <v>0</v>
      </c>
      <c r="N25">
        <f t="shared" si="11"/>
        <v>0</v>
      </c>
    </row>
    <row r="26" spans="1:14" x14ac:dyDescent="0.55000000000000004">
      <c r="A26">
        <v>401</v>
      </c>
      <c r="B26" s="2">
        <v>2</v>
      </c>
      <c r="C26" s="2">
        <f t="shared" si="0"/>
        <v>-2</v>
      </c>
      <c r="D26">
        <f t="shared" si="1"/>
        <v>1608</v>
      </c>
      <c r="E26">
        <f t="shared" si="2"/>
        <v>1600</v>
      </c>
      <c r="F26">
        <f t="shared" si="3"/>
        <v>9.9875311526844257E-2</v>
      </c>
      <c r="G26">
        <f t="shared" si="4"/>
        <v>0</v>
      </c>
      <c r="H26">
        <f t="shared" si="5"/>
        <v>801</v>
      </c>
      <c r="I26">
        <f t="shared" si="6"/>
        <v>40</v>
      </c>
      <c r="J26" s="10" t="s">
        <v>505</v>
      </c>
      <c r="K26" s="3" t="s">
        <v>670</v>
      </c>
      <c r="L26">
        <f t="shared" si="9"/>
        <v>1</v>
      </c>
      <c r="M26">
        <f t="shared" si="10"/>
        <v>5</v>
      </c>
      <c r="N26">
        <f t="shared" si="11"/>
        <v>6</v>
      </c>
    </row>
    <row r="27" spans="1:14" x14ac:dyDescent="0.55000000000000004">
      <c r="A27">
        <v>839</v>
      </c>
      <c r="B27" s="2">
        <v>1</v>
      </c>
      <c r="C27" s="2">
        <f t="shared" si="0"/>
        <v>2</v>
      </c>
      <c r="D27">
        <f t="shared" si="1"/>
        <v>841</v>
      </c>
      <c r="E27">
        <f t="shared" si="2"/>
        <v>837</v>
      </c>
      <c r="F27">
        <f t="shared" si="3"/>
        <v>0</v>
      </c>
      <c r="G27">
        <f t="shared" si="4"/>
        <v>0.93095228297886479</v>
      </c>
      <c r="H27">
        <f t="shared" si="5"/>
        <v>840</v>
      </c>
      <c r="I27">
        <f t="shared" si="6"/>
        <v>29</v>
      </c>
      <c r="J27" s="10" t="s">
        <v>507</v>
      </c>
      <c r="K27" s="3" t="s">
        <v>716</v>
      </c>
      <c r="L27">
        <f t="shared" si="9"/>
        <v>0</v>
      </c>
      <c r="M27">
        <v>0</v>
      </c>
      <c r="N27">
        <f t="shared" si="11"/>
        <v>0</v>
      </c>
    </row>
    <row r="28" spans="1:14" x14ac:dyDescent="0.55000000000000004">
      <c r="A28">
        <v>107</v>
      </c>
      <c r="B28" s="2">
        <v>9</v>
      </c>
      <c r="C28" s="2">
        <f t="shared" si="0"/>
        <v>-2</v>
      </c>
      <c r="D28">
        <f t="shared" si="1"/>
        <v>8685</v>
      </c>
      <c r="E28">
        <f t="shared" si="2"/>
        <v>8649</v>
      </c>
      <c r="F28">
        <f t="shared" si="3"/>
        <v>0.19334740205439971</v>
      </c>
      <c r="G28">
        <f t="shared" si="4"/>
        <v>0</v>
      </c>
      <c r="H28">
        <f t="shared" si="5"/>
        <v>962</v>
      </c>
      <c r="I28">
        <f t="shared" si="6"/>
        <v>93</v>
      </c>
      <c r="J28" s="10" t="s">
        <v>509</v>
      </c>
      <c r="K28" s="4" t="s">
        <v>587</v>
      </c>
      <c r="L28">
        <f t="shared" si="9"/>
        <v>0</v>
      </c>
      <c r="M28">
        <f t="shared" si="10"/>
        <v>0</v>
      </c>
      <c r="N28">
        <f t="shared" si="11"/>
        <v>0</v>
      </c>
    </row>
    <row r="29" spans="1:14" x14ac:dyDescent="0.55000000000000004">
      <c r="A29">
        <v>577</v>
      </c>
      <c r="B29" s="2">
        <v>2</v>
      </c>
      <c r="C29" s="2">
        <f t="shared" si="0"/>
        <v>-2</v>
      </c>
      <c r="D29">
        <f t="shared" si="1"/>
        <v>2312</v>
      </c>
      <c r="E29">
        <f t="shared" si="2"/>
        <v>2304</v>
      </c>
      <c r="F29">
        <f t="shared" si="3"/>
        <v>8.3261120685229173E-2</v>
      </c>
      <c r="G29">
        <f t="shared" si="4"/>
        <v>0</v>
      </c>
      <c r="H29">
        <f t="shared" si="5"/>
        <v>1153</v>
      </c>
      <c r="I29">
        <f t="shared" si="6"/>
        <v>48</v>
      </c>
      <c r="J29" s="10" t="s">
        <v>505</v>
      </c>
      <c r="K29" s="3" t="s">
        <v>690</v>
      </c>
      <c r="L29">
        <f t="shared" si="9"/>
        <v>1</v>
      </c>
      <c r="M29">
        <f t="shared" si="10"/>
        <v>7</v>
      </c>
      <c r="N29">
        <f t="shared" si="11"/>
        <v>8</v>
      </c>
    </row>
    <row r="30" spans="1:14" x14ac:dyDescent="0.55000000000000004">
      <c r="A30">
        <v>677</v>
      </c>
      <c r="B30" s="2">
        <v>2</v>
      </c>
      <c r="C30" s="2">
        <f t="shared" si="0"/>
        <v>-2</v>
      </c>
      <c r="D30">
        <f t="shared" si="1"/>
        <v>2712</v>
      </c>
      <c r="E30">
        <f t="shared" si="2"/>
        <v>2704</v>
      </c>
      <c r="F30">
        <f t="shared" si="3"/>
        <v>7.6866265166145809E-2</v>
      </c>
      <c r="G30">
        <f t="shared" si="4"/>
        <v>0</v>
      </c>
      <c r="H30">
        <f t="shared" si="5"/>
        <v>1353</v>
      </c>
      <c r="I30">
        <f t="shared" si="6"/>
        <v>52</v>
      </c>
      <c r="J30" s="10" t="s">
        <v>505</v>
      </c>
      <c r="K30" s="3" t="s">
        <v>701</v>
      </c>
      <c r="L30">
        <f t="shared" si="9"/>
        <v>1</v>
      </c>
      <c r="M30">
        <f t="shared" si="10"/>
        <v>3</v>
      </c>
      <c r="N30">
        <f t="shared" si="11"/>
        <v>4</v>
      </c>
    </row>
    <row r="31" spans="1:14" x14ac:dyDescent="0.55000000000000004">
      <c r="A31">
        <v>31</v>
      </c>
      <c r="B31" s="2">
        <v>49</v>
      </c>
      <c r="C31" s="2">
        <f t="shared" si="0"/>
        <v>2</v>
      </c>
      <c r="D31">
        <f t="shared" si="1"/>
        <v>74529</v>
      </c>
      <c r="E31">
        <f t="shared" si="2"/>
        <v>74333</v>
      </c>
      <c r="F31">
        <f t="shared" si="3"/>
        <v>0</v>
      </c>
      <c r="G31">
        <f t="shared" si="4"/>
        <v>0.64078931810627182</v>
      </c>
      <c r="H31">
        <f t="shared" si="5"/>
        <v>1520</v>
      </c>
      <c r="I31">
        <f t="shared" si="6"/>
        <v>273</v>
      </c>
      <c r="J31" s="10" t="s">
        <v>511</v>
      </c>
      <c r="K31" s="3" t="s">
        <v>613</v>
      </c>
      <c r="L31">
        <f t="shared" si="9"/>
        <v>0</v>
      </c>
      <c r="M31">
        <f t="shared" si="10"/>
        <v>0</v>
      </c>
      <c r="N31">
        <f t="shared" si="11"/>
        <v>0</v>
      </c>
    </row>
    <row r="32" spans="1:14" x14ac:dyDescent="0.55000000000000004">
      <c r="A32">
        <v>41</v>
      </c>
      <c r="B32" s="2">
        <v>50</v>
      </c>
      <c r="C32" s="2">
        <f t="shared" si="0"/>
        <v>-2</v>
      </c>
      <c r="D32">
        <f t="shared" si="1"/>
        <v>102600</v>
      </c>
      <c r="E32">
        <f t="shared" si="2"/>
        <v>102400</v>
      </c>
      <c r="F32">
        <f t="shared" si="3"/>
        <v>0.31234756093931537</v>
      </c>
      <c r="G32">
        <f t="shared" si="4"/>
        <v>0</v>
      </c>
      <c r="H32">
        <f t="shared" si="5"/>
        <v>2049</v>
      </c>
      <c r="I32">
        <f t="shared" si="6"/>
        <v>320</v>
      </c>
      <c r="J32" s="10" t="s">
        <v>508</v>
      </c>
      <c r="K32" s="3" t="s">
        <v>615</v>
      </c>
      <c r="L32">
        <f t="shared" si="9"/>
        <v>1</v>
      </c>
      <c r="M32">
        <f t="shared" si="10"/>
        <v>11</v>
      </c>
      <c r="N32">
        <f t="shared" si="11"/>
        <v>12</v>
      </c>
    </row>
    <row r="33" spans="1:14" x14ac:dyDescent="0.55000000000000004">
      <c r="A33">
        <v>71</v>
      </c>
      <c r="B33" s="2">
        <v>49</v>
      </c>
      <c r="C33" s="2">
        <f t="shared" si="0"/>
        <v>2</v>
      </c>
      <c r="D33">
        <f t="shared" si="1"/>
        <v>170569</v>
      </c>
      <c r="E33">
        <f t="shared" si="2"/>
        <v>170373</v>
      </c>
      <c r="F33">
        <f t="shared" si="3"/>
        <v>0</v>
      </c>
      <c r="G33">
        <f t="shared" si="4"/>
        <v>0.76264365855593041</v>
      </c>
      <c r="H33">
        <f t="shared" si="5"/>
        <v>3480</v>
      </c>
      <c r="I33">
        <f t="shared" si="6"/>
        <v>413</v>
      </c>
      <c r="J33" s="10" t="s">
        <v>511</v>
      </c>
      <c r="K33" s="3" t="s">
        <v>563</v>
      </c>
      <c r="L33">
        <f t="shared" si="9"/>
        <v>0</v>
      </c>
      <c r="M33">
        <f t="shared" si="10"/>
        <v>0</v>
      </c>
      <c r="N33">
        <f t="shared" si="11"/>
        <v>0</v>
      </c>
    </row>
    <row r="34" spans="1:14" x14ac:dyDescent="0.55000000000000004">
      <c r="A34">
        <v>43</v>
      </c>
      <c r="B34" s="2">
        <v>81</v>
      </c>
      <c r="C34" s="2">
        <f t="shared" ref="C34:C65" si="12">IF(G34=0,-2,2)</f>
        <v>-2</v>
      </c>
      <c r="D34">
        <f t="shared" ref="D34:D65" si="13">B34*(B34*A34+2)</f>
        <v>282285</v>
      </c>
      <c r="E34">
        <f t="shared" ref="E34:E65" si="14">B34*(B34*A34-2)</f>
        <v>281961</v>
      </c>
      <c r="F34">
        <f t="shared" ref="F34:F65" si="15">SQRT(D34)-_xlfn.FLOOR.MATH(SQRT(D34))</f>
        <v>0.30499715323594501</v>
      </c>
      <c r="G34">
        <f t="shared" ref="G34:G65" si="16">SQRT(E34)-_xlfn.FLOOR.MATH(SQRT(E34))</f>
        <v>0</v>
      </c>
      <c r="H34">
        <f t="shared" ref="H34:H65" si="17">IF(G34=0,B34*A34-1,B34*A34+1)</f>
        <v>3482</v>
      </c>
      <c r="I34">
        <f t="shared" ref="I34:I65" si="18">SQRT((H34*H34-1)/A34)</f>
        <v>531</v>
      </c>
      <c r="J34" s="10" t="s">
        <v>512</v>
      </c>
      <c r="K34" s="3" t="s">
        <v>563</v>
      </c>
      <c r="L34">
        <f t="shared" si="9"/>
        <v>0</v>
      </c>
      <c r="M34">
        <f t="shared" si="10"/>
        <v>0</v>
      </c>
      <c r="N34">
        <f t="shared" si="11"/>
        <v>0</v>
      </c>
    </row>
    <row r="35" spans="1:14" x14ac:dyDescent="0.55000000000000004">
      <c r="A35">
        <v>499</v>
      </c>
      <c r="B35" s="2">
        <v>9</v>
      </c>
      <c r="C35" s="2">
        <f t="shared" si="12"/>
        <v>-2</v>
      </c>
      <c r="D35">
        <f t="shared" si="13"/>
        <v>40437</v>
      </c>
      <c r="E35">
        <f t="shared" si="14"/>
        <v>40401</v>
      </c>
      <c r="F35">
        <f t="shared" si="15"/>
        <v>8.9532298426718171E-2</v>
      </c>
      <c r="G35">
        <f t="shared" si="16"/>
        <v>0</v>
      </c>
      <c r="H35">
        <f t="shared" si="17"/>
        <v>4490</v>
      </c>
      <c r="I35">
        <f t="shared" si="18"/>
        <v>201</v>
      </c>
      <c r="J35" s="10" t="s">
        <v>509</v>
      </c>
      <c r="K35" s="3" t="s">
        <v>681</v>
      </c>
      <c r="L35">
        <f t="shared" si="9"/>
        <v>0</v>
      </c>
      <c r="M35">
        <f t="shared" si="10"/>
        <v>0</v>
      </c>
      <c r="N35">
        <f t="shared" si="11"/>
        <v>0</v>
      </c>
    </row>
    <row r="36" spans="1:14" x14ac:dyDescent="0.55000000000000004">
      <c r="A36">
        <v>659</v>
      </c>
      <c r="B36" s="2">
        <v>9</v>
      </c>
      <c r="C36" s="2">
        <f t="shared" si="12"/>
        <v>-2</v>
      </c>
      <c r="D36">
        <f t="shared" si="13"/>
        <v>53397</v>
      </c>
      <c r="E36">
        <f t="shared" si="14"/>
        <v>53361</v>
      </c>
      <c r="F36">
        <f t="shared" si="15"/>
        <v>7.7908939820559908E-2</v>
      </c>
      <c r="G36">
        <f t="shared" si="16"/>
        <v>0</v>
      </c>
      <c r="H36">
        <f t="shared" si="17"/>
        <v>5930</v>
      </c>
      <c r="I36">
        <f t="shared" si="18"/>
        <v>231</v>
      </c>
      <c r="J36" s="10" t="s">
        <v>509</v>
      </c>
      <c r="K36" s="4" t="s">
        <v>700</v>
      </c>
      <c r="L36">
        <f t="shared" si="9"/>
        <v>0</v>
      </c>
      <c r="M36">
        <f t="shared" si="10"/>
        <v>0</v>
      </c>
      <c r="N36">
        <f t="shared" si="11"/>
        <v>0</v>
      </c>
    </row>
    <row r="37" spans="1:14" x14ac:dyDescent="0.55000000000000004">
      <c r="A37">
        <v>29</v>
      </c>
      <c r="B37" s="2">
        <v>338</v>
      </c>
      <c r="C37" s="2">
        <f t="shared" si="12"/>
        <v>-2</v>
      </c>
      <c r="D37">
        <f t="shared" si="13"/>
        <v>3313752</v>
      </c>
      <c r="E37">
        <f t="shared" si="14"/>
        <v>3312400</v>
      </c>
      <c r="F37">
        <f t="shared" si="15"/>
        <v>0.37139067828684347</v>
      </c>
      <c r="G37">
        <f t="shared" si="16"/>
        <v>0</v>
      </c>
      <c r="H37">
        <f t="shared" si="17"/>
        <v>9801</v>
      </c>
      <c r="I37">
        <f t="shared" si="18"/>
        <v>1820</v>
      </c>
      <c r="J37" s="10" t="s">
        <v>510</v>
      </c>
      <c r="K37" s="3" t="s">
        <v>612</v>
      </c>
      <c r="L37">
        <f t="shared" si="9"/>
        <v>1</v>
      </c>
      <c r="M37">
        <f t="shared" si="10"/>
        <v>3</v>
      </c>
      <c r="N37">
        <f t="shared" si="11"/>
        <v>4</v>
      </c>
    </row>
    <row r="38" spans="1:14" x14ac:dyDescent="0.55000000000000004">
      <c r="A38">
        <v>131</v>
      </c>
      <c r="B38" s="2">
        <v>81</v>
      </c>
      <c r="C38" s="2">
        <f t="shared" si="12"/>
        <v>-2</v>
      </c>
      <c r="D38">
        <f t="shared" si="13"/>
        <v>859653</v>
      </c>
      <c r="E38">
        <f t="shared" si="14"/>
        <v>859329</v>
      </c>
      <c r="F38">
        <f t="shared" si="15"/>
        <v>0.17474081210821168</v>
      </c>
      <c r="G38">
        <f t="shared" si="16"/>
        <v>0</v>
      </c>
      <c r="H38">
        <f t="shared" si="17"/>
        <v>10610</v>
      </c>
      <c r="I38">
        <f t="shared" si="18"/>
        <v>927</v>
      </c>
      <c r="J38" s="10" t="s">
        <v>512</v>
      </c>
      <c r="K38" s="3" t="s">
        <v>627</v>
      </c>
      <c r="L38">
        <f t="shared" si="9"/>
        <v>0</v>
      </c>
      <c r="M38">
        <f t="shared" si="10"/>
        <v>0</v>
      </c>
      <c r="N38">
        <f t="shared" si="11"/>
        <v>0</v>
      </c>
    </row>
    <row r="39" spans="1:14" x14ac:dyDescent="0.55000000000000004">
      <c r="A39">
        <v>269</v>
      </c>
      <c r="B39" s="2">
        <v>50</v>
      </c>
      <c r="C39" s="2">
        <f t="shared" si="12"/>
        <v>-2</v>
      </c>
      <c r="D39">
        <f t="shared" si="13"/>
        <v>672600</v>
      </c>
      <c r="E39">
        <f t="shared" si="14"/>
        <v>672400</v>
      </c>
      <c r="F39">
        <f t="shared" si="15"/>
        <v>0.12194215250701745</v>
      </c>
      <c r="G39">
        <f t="shared" si="16"/>
        <v>0</v>
      </c>
      <c r="H39">
        <f t="shared" si="17"/>
        <v>13449</v>
      </c>
      <c r="I39">
        <f t="shared" si="18"/>
        <v>820</v>
      </c>
      <c r="J39" s="10" t="s">
        <v>508</v>
      </c>
      <c r="K39" s="3" t="s">
        <v>650</v>
      </c>
      <c r="L39">
        <f t="shared" si="9"/>
        <v>1</v>
      </c>
      <c r="M39">
        <f t="shared" si="10"/>
        <v>3</v>
      </c>
      <c r="N39">
        <f t="shared" si="11"/>
        <v>4</v>
      </c>
    </row>
    <row r="40" spans="1:14" x14ac:dyDescent="0.55000000000000004">
      <c r="A40">
        <v>383</v>
      </c>
      <c r="B40" s="2">
        <v>49</v>
      </c>
      <c r="C40" s="2">
        <f t="shared" si="12"/>
        <v>2</v>
      </c>
      <c r="D40">
        <f t="shared" si="13"/>
        <v>919681</v>
      </c>
      <c r="E40">
        <f t="shared" si="14"/>
        <v>919485</v>
      </c>
      <c r="F40">
        <f t="shared" si="15"/>
        <v>0</v>
      </c>
      <c r="G40">
        <f t="shared" si="16"/>
        <v>0.89780477379338208</v>
      </c>
      <c r="H40">
        <f t="shared" si="17"/>
        <v>18768</v>
      </c>
      <c r="I40">
        <f t="shared" si="18"/>
        <v>959</v>
      </c>
      <c r="J40" s="10" t="s">
        <v>511</v>
      </c>
      <c r="K40" s="3" t="s">
        <v>668</v>
      </c>
      <c r="L40">
        <f t="shared" si="9"/>
        <v>0</v>
      </c>
      <c r="M40">
        <f t="shared" si="10"/>
        <v>0</v>
      </c>
      <c r="N40">
        <f t="shared" si="11"/>
        <v>0</v>
      </c>
    </row>
    <row r="41" spans="1:14" x14ac:dyDescent="0.55000000000000004">
      <c r="A41">
        <v>503</v>
      </c>
      <c r="B41" s="2">
        <v>49</v>
      </c>
      <c r="C41" s="2">
        <f t="shared" si="12"/>
        <v>2</v>
      </c>
      <c r="D41">
        <f t="shared" si="13"/>
        <v>1207801</v>
      </c>
      <c r="E41">
        <f t="shared" si="14"/>
        <v>1207605</v>
      </c>
      <c r="F41">
        <f t="shared" si="15"/>
        <v>0</v>
      </c>
      <c r="G41">
        <f t="shared" si="16"/>
        <v>0.91082440751301874</v>
      </c>
      <c r="H41">
        <f t="shared" si="17"/>
        <v>24648</v>
      </c>
      <c r="I41">
        <f t="shared" si="18"/>
        <v>1099</v>
      </c>
      <c r="J41" s="10" t="s">
        <v>511</v>
      </c>
      <c r="K41" s="3" t="s">
        <v>682</v>
      </c>
      <c r="L41">
        <f t="shared" si="9"/>
        <v>0</v>
      </c>
      <c r="M41">
        <f t="shared" si="10"/>
        <v>0</v>
      </c>
      <c r="N41">
        <f t="shared" si="11"/>
        <v>0</v>
      </c>
    </row>
    <row r="42" spans="1:14" x14ac:dyDescent="0.55000000000000004">
      <c r="A42">
        <v>557</v>
      </c>
      <c r="B42" s="2">
        <v>50</v>
      </c>
      <c r="C42" s="2">
        <f t="shared" si="12"/>
        <v>-2</v>
      </c>
      <c r="D42">
        <f t="shared" si="13"/>
        <v>1392600</v>
      </c>
      <c r="E42">
        <f t="shared" si="14"/>
        <v>1392400</v>
      </c>
      <c r="F42">
        <f t="shared" si="15"/>
        <v>8.4742719775931619E-2</v>
      </c>
      <c r="G42">
        <f t="shared" si="16"/>
        <v>0</v>
      </c>
      <c r="H42">
        <f t="shared" si="17"/>
        <v>27849</v>
      </c>
      <c r="I42">
        <f t="shared" si="18"/>
        <v>1180</v>
      </c>
      <c r="J42" s="10" t="s">
        <v>508</v>
      </c>
      <c r="K42" s="3" t="s">
        <v>687</v>
      </c>
      <c r="L42">
        <f t="shared" si="9"/>
        <v>1</v>
      </c>
      <c r="M42">
        <f t="shared" si="10"/>
        <v>3</v>
      </c>
      <c r="N42">
        <f t="shared" si="11"/>
        <v>4</v>
      </c>
    </row>
    <row r="43" spans="1:14" x14ac:dyDescent="0.55000000000000004">
      <c r="A43">
        <v>67</v>
      </c>
      <c r="B43" s="2">
        <v>729</v>
      </c>
      <c r="C43" s="2">
        <f t="shared" si="12"/>
        <v>-2</v>
      </c>
      <c r="D43">
        <f t="shared" si="13"/>
        <v>35608005</v>
      </c>
      <c r="E43">
        <f t="shared" si="14"/>
        <v>35605089</v>
      </c>
      <c r="F43">
        <f t="shared" si="15"/>
        <v>0.24433888876410492</v>
      </c>
      <c r="G43">
        <f t="shared" si="16"/>
        <v>0</v>
      </c>
      <c r="H43">
        <f t="shared" si="17"/>
        <v>48842</v>
      </c>
      <c r="I43">
        <f t="shared" si="18"/>
        <v>5967</v>
      </c>
      <c r="J43" s="10" t="s">
        <v>515</v>
      </c>
      <c r="K43" s="4" t="s">
        <v>618</v>
      </c>
      <c r="L43">
        <f t="shared" si="9"/>
        <v>0</v>
      </c>
      <c r="M43">
        <f t="shared" si="10"/>
        <v>0</v>
      </c>
      <c r="N43">
        <f t="shared" si="11"/>
        <v>0</v>
      </c>
    </row>
    <row r="44" spans="1:14" x14ac:dyDescent="0.55000000000000004">
      <c r="A44">
        <v>53</v>
      </c>
      <c r="B44" s="2">
        <v>1250</v>
      </c>
      <c r="C44" s="2">
        <f t="shared" si="12"/>
        <v>-2</v>
      </c>
      <c r="D44">
        <f t="shared" si="13"/>
        <v>82815000</v>
      </c>
      <c r="E44">
        <f t="shared" si="14"/>
        <v>82810000</v>
      </c>
      <c r="F44">
        <f t="shared" si="15"/>
        <v>0.27472112792929693</v>
      </c>
      <c r="G44">
        <f t="shared" si="16"/>
        <v>0</v>
      </c>
      <c r="H44">
        <f t="shared" si="17"/>
        <v>66249</v>
      </c>
      <c r="I44">
        <f t="shared" si="18"/>
        <v>9100</v>
      </c>
      <c r="J44" s="10" t="s">
        <v>513</v>
      </c>
      <c r="K44" s="3" t="s">
        <v>616</v>
      </c>
      <c r="L44">
        <f t="shared" si="9"/>
        <v>1</v>
      </c>
      <c r="M44">
        <f t="shared" si="10"/>
        <v>3</v>
      </c>
      <c r="N44">
        <f t="shared" si="11"/>
        <v>4</v>
      </c>
    </row>
    <row r="45" spans="1:14" x14ac:dyDescent="0.55000000000000004">
      <c r="A45">
        <v>563</v>
      </c>
      <c r="B45" s="2">
        <v>121</v>
      </c>
      <c r="C45" s="2">
        <f t="shared" si="12"/>
        <v>-2</v>
      </c>
      <c r="D45">
        <f t="shared" si="13"/>
        <v>8243125</v>
      </c>
      <c r="E45">
        <f t="shared" si="14"/>
        <v>8242641</v>
      </c>
      <c r="F45">
        <f t="shared" si="15"/>
        <v>8.4289950401398528E-2</v>
      </c>
      <c r="G45">
        <f t="shared" si="16"/>
        <v>0</v>
      </c>
      <c r="H45">
        <f t="shared" si="17"/>
        <v>68122</v>
      </c>
      <c r="I45">
        <f t="shared" si="18"/>
        <v>2871</v>
      </c>
      <c r="J45" s="10" t="s">
        <v>571</v>
      </c>
      <c r="K45" s="3" t="s">
        <v>688</v>
      </c>
      <c r="L45">
        <f t="shared" si="9"/>
        <v>0</v>
      </c>
      <c r="M45">
        <v>0</v>
      </c>
      <c r="N45">
        <f t="shared" si="11"/>
        <v>0</v>
      </c>
    </row>
    <row r="46" spans="1:14" x14ac:dyDescent="0.55000000000000004">
      <c r="A46">
        <v>263</v>
      </c>
      <c r="B46" s="2">
        <v>529</v>
      </c>
      <c r="C46" s="2">
        <f t="shared" si="12"/>
        <v>2</v>
      </c>
      <c r="D46">
        <f t="shared" si="13"/>
        <v>73599241</v>
      </c>
      <c r="E46">
        <f t="shared" si="14"/>
        <v>73597125</v>
      </c>
      <c r="F46">
        <f t="shared" si="15"/>
        <v>0</v>
      </c>
      <c r="G46">
        <f t="shared" si="16"/>
        <v>0.87667471680106246</v>
      </c>
      <c r="H46">
        <f t="shared" si="17"/>
        <v>139128</v>
      </c>
      <c r="I46">
        <f t="shared" si="18"/>
        <v>8579</v>
      </c>
      <c r="J46" s="10" t="s">
        <v>541</v>
      </c>
      <c r="K46" s="3" t="s">
        <v>649</v>
      </c>
      <c r="L46">
        <v>0</v>
      </c>
      <c r="M46">
        <f t="shared" si="10"/>
        <v>0</v>
      </c>
      <c r="N46">
        <f t="shared" si="11"/>
        <v>0</v>
      </c>
    </row>
    <row r="47" spans="1:14" x14ac:dyDescent="0.55000000000000004">
      <c r="A47">
        <v>103</v>
      </c>
      <c r="B47" s="2">
        <v>2209</v>
      </c>
      <c r="C47" s="2">
        <f t="shared" si="12"/>
        <v>2</v>
      </c>
      <c r="D47">
        <f t="shared" si="13"/>
        <v>502611561</v>
      </c>
      <c r="E47">
        <f t="shared" si="14"/>
        <v>502602725</v>
      </c>
      <c r="F47">
        <f t="shared" si="15"/>
        <v>0</v>
      </c>
      <c r="G47">
        <f t="shared" si="16"/>
        <v>0.8029341443652811</v>
      </c>
      <c r="H47">
        <f t="shared" si="17"/>
        <v>227528</v>
      </c>
      <c r="I47">
        <f t="shared" si="18"/>
        <v>22419</v>
      </c>
      <c r="J47" s="10" t="s">
        <v>519</v>
      </c>
      <c r="K47" s="3" t="s">
        <v>623</v>
      </c>
      <c r="L47">
        <f t="shared" si="9"/>
        <v>0</v>
      </c>
      <c r="M47">
        <f t="shared" si="10"/>
        <v>0</v>
      </c>
      <c r="N47">
        <f t="shared" si="11"/>
        <v>0</v>
      </c>
    </row>
    <row r="48" spans="1:14" x14ac:dyDescent="0.55000000000000004">
      <c r="A48">
        <v>983</v>
      </c>
      <c r="B48" s="2">
        <v>289</v>
      </c>
      <c r="C48" s="2">
        <f t="shared" si="12"/>
        <v>2</v>
      </c>
      <c r="D48">
        <f t="shared" si="13"/>
        <v>82101721</v>
      </c>
      <c r="E48">
        <f t="shared" si="14"/>
        <v>82100565</v>
      </c>
      <c r="F48">
        <f t="shared" si="15"/>
        <v>0</v>
      </c>
      <c r="G48">
        <f t="shared" si="16"/>
        <v>0.93620990678937233</v>
      </c>
      <c r="H48">
        <f t="shared" si="17"/>
        <v>284088</v>
      </c>
      <c r="I48">
        <f t="shared" si="18"/>
        <v>9061</v>
      </c>
      <c r="J48" s="10" t="s">
        <v>605</v>
      </c>
      <c r="K48" s="3" t="s">
        <v>727</v>
      </c>
      <c r="L48">
        <f t="shared" si="9"/>
        <v>0</v>
      </c>
      <c r="M48">
        <f t="shared" si="10"/>
        <v>0</v>
      </c>
      <c r="N48">
        <f t="shared" si="11"/>
        <v>0</v>
      </c>
    </row>
    <row r="49" spans="1:14" x14ac:dyDescent="0.55000000000000004">
      <c r="A49">
        <v>887</v>
      </c>
      <c r="B49" s="2">
        <v>529</v>
      </c>
      <c r="C49" s="2">
        <f t="shared" si="12"/>
        <v>2</v>
      </c>
      <c r="D49">
        <f t="shared" si="13"/>
        <v>248220025</v>
      </c>
      <c r="E49">
        <f t="shared" si="14"/>
        <v>248217909</v>
      </c>
      <c r="F49">
        <f t="shared" si="15"/>
        <v>0</v>
      </c>
      <c r="G49">
        <f t="shared" si="16"/>
        <v>0.93284657221192901</v>
      </c>
      <c r="H49">
        <f t="shared" si="17"/>
        <v>469224</v>
      </c>
      <c r="I49">
        <f t="shared" si="18"/>
        <v>15755</v>
      </c>
      <c r="J49" s="10" t="s">
        <v>541</v>
      </c>
      <c r="K49" s="4" t="s">
        <v>720</v>
      </c>
      <c r="L49">
        <v>0</v>
      </c>
      <c r="M49">
        <f t="shared" si="10"/>
        <v>0</v>
      </c>
      <c r="N49">
        <f t="shared" si="11"/>
        <v>0</v>
      </c>
    </row>
    <row r="50" spans="1:14" x14ac:dyDescent="0.55000000000000004">
      <c r="A50">
        <v>89</v>
      </c>
      <c r="B50" s="2">
        <v>5618</v>
      </c>
      <c r="C50" s="2">
        <f t="shared" si="12"/>
        <v>-2</v>
      </c>
      <c r="D50">
        <f t="shared" si="13"/>
        <v>2809022472</v>
      </c>
      <c r="E50">
        <f t="shared" si="14"/>
        <v>2809000000</v>
      </c>
      <c r="F50">
        <f t="shared" si="15"/>
        <v>0.21199957600038033</v>
      </c>
      <c r="G50">
        <f t="shared" si="16"/>
        <v>0</v>
      </c>
      <c r="H50">
        <f t="shared" si="17"/>
        <v>500001</v>
      </c>
      <c r="I50">
        <f t="shared" si="18"/>
        <v>53000</v>
      </c>
      <c r="J50" s="10" t="s">
        <v>517</v>
      </c>
      <c r="K50" s="3" t="s">
        <v>620</v>
      </c>
      <c r="L50">
        <f t="shared" si="9"/>
        <v>1</v>
      </c>
      <c r="M50">
        <f t="shared" si="10"/>
        <v>5</v>
      </c>
      <c r="N50">
        <f t="shared" si="11"/>
        <v>6</v>
      </c>
    </row>
    <row r="51" spans="1:14" x14ac:dyDescent="0.55000000000000004">
      <c r="A51">
        <v>347</v>
      </c>
      <c r="B51" s="2">
        <v>1849</v>
      </c>
      <c r="C51" s="2">
        <f t="shared" si="12"/>
        <v>-2</v>
      </c>
      <c r="D51">
        <f t="shared" si="13"/>
        <v>1186327645</v>
      </c>
      <c r="E51">
        <f t="shared" si="14"/>
        <v>1186320249</v>
      </c>
      <c r="F51">
        <f t="shared" si="15"/>
        <v>0.10736562541569583</v>
      </c>
      <c r="G51">
        <f t="shared" si="16"/>
        <v>0</v>
      </c>
      <c r="H51">
        <f t="shared" si="17"/>
        <v>641602</v>
      </c>
      <c r="I51">
        <f t="shared" si="18"/>
        <v>34443</v>
      </c>
      <c r="J51" s="10" t="s">
        <v>552</v>
      </c>
      <c r="K51" s="4" t="s">
        <v>661</v>
      </c>
      <c r="L51">
        <f t="shared" si="9"/>
        <v>0</v>
      </c>
      <c r="M51">
        <f t="shared" si="10"/>
        <v>0</v>
      </c>
      <c r="N51">
        <f t="shared" si="11"/>
        <v>0</v>
      </c>
    </row>
    <row r="52" spans="1:14" x14ac:dyDescent="0.55000000000000004">
      <c r="A52">
        <v>743</v>
      </c>
      <c r="B52" s="2">
        <v>961</v>
      </c>
      <c r="C52" s="2">
        <f t="shared" si="12"/>
        <v>2</v>
      </c>
      <c r="D52">
        <f t="shared" si="13"/>
        <v>686178025</v>
      </c>
      <c r="E52">
        <f t="shared" si="14"/>
        <v>686174181</v>
      </c>
      <c r="F52">
        <f t="shared" si="15"/>
        <v>0</v>
      </c>
      <c r="G52">
        <f t="shared" si="16"/>
        <v>0.9266271161759505</v>
      </c>
      <c r="H52">
        <f t="shared" si="17"/>
        <v>714024</v>
      </c>
      <c r="I52">
        <f t="shared" si="18"/>
        <v>26195</v>
      </c>
      <c r="J52" s="10" t="s">
        <v>587</v>
      </c>
      <c r="K52" s="3" t="s">
        <v>707</v>
      </c>
      <c r="L52">
        <f t="shared" si="9"/>
        <v>0</v>
      </c>
      <c r="M52">
        <f t="shared" si="10"/>
        <v>0</v>
      </c>
      <c r="N52">
        <f t="shared" si="11"/>
        <v>0</v>
      </c>
    </row>
    <row r="53" spans="1:14" x14ac:dyDescent="0.55000000000000004">
      <c r="A53">
        <v>827</v>
      </c>
      <c r="B53" s="2">
        <v>1089</v>
      </c>
      <c r="C53" s="2">
        <f t="shared" si="12"/>
        <v>-2</v>
      </c>
      <c r="D53">
        <f t="shared" si="13"/>
        <v>980758845</v>
      </c>
      <c r="E53">
        <f t="shared" si="14"/>
        <v>980754489</v>
      </c>
      <c r="F53">
        <f t="shared" si="15"/>
        <v>6.9546814240311505E-2</v>
      </c>
      <c r="G53">
        <f t="shared" si="16"/>
        <v>0</v>
      </c>
      <c r="H53">
        <f t="shared" si="17"/>
        <v>900602</v>
      </c>
      <c r="I53">
        <f t="shared" si="18"/>
        <v>31317</v>
      </c>
      <c r="J53" s="10" t="s">
        <v>594</v>
      </c>
      <c r="K53" s="4" t="s">
        <v>714</v>
      </c>
      <c r="L53">
        <f t="shared" si="9"/>
        <v>0</v>
      </c>
      <c r="M53">
        <f t="shared" si="10"/>
        <v>0</v>
      </c>
      <c r="N53">
        <f t="shared" si="11"/>
        <v>0</v>
      </c>
    </row>
    <row r="54" spans="1:14" x14ac:dyDescent="0.55000000000000004">
      <c r="A54">
        <v>113</v>
      </c>
      <c r="B54" s="2">
        <v>10658</v>
      </c>
      <c r="C54" s="2">
        <f t="shared" si="12"/>
        <v>-2</v>
      </c>
      <c r="D54">
        <f t="shared" si="13"/>
        <v>12836026248</v>
      </c>
      <c r="E54">
        <f t="shared" si="14"/>
        <v>12835983616</v>
      </c>
      <c r="F54">
        <f t="shared" si="15"/>
        <v>0.18814417367684655</v>
      </c>
      <c r="G54">
        <f t="shared" si="16"/>
        <v>0</v>
      </c>
      <c r="H54">
        <f t="shared" si="17"/>
        <v>1204353</v>
      </c>
      <c r="I54">
        <f t="shared" si="18"/>
        <v>113296</v>
      </c>
      <c r="J54" s="10" t="s">
        <v>521</v>
      </c>
      <c r="K54" s="3" t="s">
        <v>625</v>
      </c>
      <c r="L54">
        <f t="shared" si="9"/>
        <v>1</v>
      </c>
      <c r="M54">
        <f t="shared" si="10"/>
        <v>7</v>
      </c>
      <c r="N54">
        <f t="shared" si="11"/>
        <v>8</v>
      </c>
    </row>
    <row r="55" spans="1:14" x14ac:dyDescent="0.55000000000000004">
      <c r="A55">
        <v>761</v>
      </c>
      <c r="B55" s="2">
        <v>1682</v>
      </c>
      <c r="C55" s="2">
        <f t="shared" si="12"/>
        <v>-2</v>
      </c>
      <c r="D55">
        <f t="shared" si="13"/>
        <v>2152966728</v>
      </c>
      <c r="E55">
        <f t="shared" si="14"/>
        <v>2152960000</v>
      </c>
      <c r="F55">
        <f t="shared" si="15"/>
        <v>7.2499943358707242E-2</v>
      </c>
      <c r="G55">
        <f t="shared" si="16"/>
        <v>0</v>
      </c>
      <c r="H55">
        <f t="shared" si="17"/>
        <v>1280001</v>
      </c>
      <c r="I55">
        <f t="shared" si="18"/>
        <v>46400</v>
      </c>
      <c r="J55" s="10" t="s">
        <v>589</v>
      </c>
      <c r="K55" s="3" t="s">
        <v>709</v>
      </c>
      <c r="L55">
        <v>1</v>
      </c>
      <c r="M55">
        <f t="shared" si="10"/>
        <v>11</v>
      </c>
      <c r="N55">
        <f t="shared" si="11"/>
        <v>12</v>
      </c>
    </row>
    <row r="56" spans="1:14" x14ac:dyDescent="0.55000000000000004">
      <c r="A56">
        <v>467</v>
      </c>
      <c r="B56" s="2">
        <v>3481</v>
      </c>
      <c r="C56" s="2">
        <f t="shared" si="12"/>
        <v>-2</v>
      </c>
      <c r="D56">
        <f t="shared" si="13"/>
        <v>5658814549</v>
      </c>
      <c r="E56">
        <f t="shared" si="14"/>
        <v>5658800625</v>
      </c>
      <c r="F56">
        <f t="shared" si="15"/>
        <v>9.254896268248558E-2</v>
      </c>
      <c r="G56">
        <f t="shared" si="16"/>
        <v>0</v>
      </c>
      <c r="H56">
        <f t="shared" si="17"/>
        <v>1625626</v>
      </c>
      <c r="I56">
        <f t="shared" si="18"/>
        <v>75225</v>
      </c>
      <c r="J56" s="10" t="s">
        <v>563</v>
      </c>
      <c r="K56" s="3" t="s">
        <v>677</v>
      </c>
      <c r="L56">
        <f t="shared" si="9"/>
        <v>0</v>
      </c>
      <c r="M56">
        <f t="shared" si="10"/>
        <v>0</v>
      </c>
      <c r="N56">
        <f t="shared" si="11"/>
        <v>0</v>
      </c>
    </row>
    <row r="57" spans="1:14" x14ac:dyDescent="0.55000000000000004">
      <c r="A57">
        <v>587</v>
      </c>
      <c r="B57" s="2">
        <v>3249</v>
      </c>
      <c r="C57" s="2">
        <f t="shared" si="12"/>
        <v>-2</v>
      </c>
      <c r="D57">
        <f t="shared" si="13"/>
        <v>6196379085</v>
      </c>
      <c r="E57">
        <f t="shared" si="14"/>
        <v>6196366089</v>
      </c>
      <c r="F57">
        <f t="shared" si="15"/>
        <v>8.2548834339831956E-2</v>
      </c>
      <c r="G57">
        <f t="shared" si="16"/>
        <v>0</v>
      </c>
      <c r="H57">
        <f t="shared" si="17"/>
        <v>1907162</v>
      </c>
      <c r="I57">
        <f t="shared" si="18"/>
        <v>78717</v>
      </c>
      <c r="J57" s="10" t="s">
        <v>573</v>
      </c>
      <c r="K57" s="3" t="s">
        <v>691</v>
      </c>
      <c r="L57">
        <f t="shared" si="9"/>
        <v>0</v>
      </c>
      <c r="M57">
        <f t="shared" si="10"/>
        <v>0</v>
      </c>
      <c r="N57">
        <f t="shared" si="11"/>
        <v>0</v>
      </c>
    </row>
    <row r="58" spans="1:14" x14ac:dyDescent="0.55000000000000004">
      <c r="A58">
        <v>73</v>
      </c>
      <c r="B58" s="2">
        <v>31250</v>
      </c>
      <c r="C58" s="2">
        <f t="shared" si="12"/>
        <v>-2</v>
      </c>
      <c r="D58">
        <f t="shared" si="13"/>
        <v>71289125000</v>
      </c>
      <c r="E58">
        <f t="shared" si="14"/>
        <v>71289000000</v>
      </c>
      <c r="F58">
        <f t="shared" si="15"/>
        <v>0.23408229439519346</v>
      </c>
      <c r="G58">
        <f t="shared" si="16"/>
        <v>0</v>
      </c>
      <c r="H58">
        <f t="shared" si="17"/>
        <v>2281249</v>
      </c>
      <c r="I58">
        <f t="shared" si="18"/>
        <v>267000</v>
      </c>
      <c r="J58" s="10" t="s">
        <v>516</v>
      </c>
      <c r="K58" s="3" t="s">
        <v>619</v>
      </c>
      <c r="L58">
        <f t="shared" si="9"/>
        <v>1</v>
      </c>
      <c r="M58">
        <f t="shared" si="10"/>
        <v>5</v>
      </c>
      <c r="N58">
        <f t="shared" si="11"/>
        <v>6</v>
      </c>
    </row>
    <row r="59" spans="1:14" x14ac:dyDescent="0.55000000000000004">
      <c r="A59">
        <v>173</v>
      </c>
      <c r="B59" s="2">
        <v>14450</v>
      </c>
      <c r="C59" s="2">
        <f t="shared" si="12"/>
        <v>-2</v>
      </c>
      <c r="D59">
        <f t="shared" si="13"/>
        <v>36122861400</v>
      </c>
      <c r="E59">
        <f t="shared" si="14"/>
        <v>36122803600</v>
      </c>
      <c r="F59">
        <f t="shared" si="15"/>
        <v>0.15205718425568193</v>
      </c>
      <c r="G59">
        <f t="shared" si="16"/>
        <v>0</v>
      </c>
      <c r="H59">
        <f t="shared" si="17"/>
        <v>2499849</v>
      </c>
      <c r="I59">
        <f t="shared" si="18"/>
        <v>190060</v>
      </c>
      <c r="J59" s="10" t="s">
        <v>529</v>
      </c>
      <c r="K59" s="3" t="s">
        <v>634</v>
      </c>
      <c r="L59">
        <f t="shared" si="9"/>
        <v>1</v>
      </c>
      <c r="M59">
        <f t="shared" si="10"/>
        <v>3</v>
      </c>
      <c r="N59">
        <f t="shared" si="11"/>
        <v>4</v>
      </c>
    </row>
    <row r="60" spans="1:14" x14ac:dyDescent="0.55000000000000004">
      <c r="A60">
        <v>479</v>
      </c>
      <c r="B60" s="2">
        <v>6241</v>
      </c>
      <c r="C60" s="2">
        <f t="shared" si="12"/>
        <v>2</v>
      </c>
      <c r="D60">
        <f t="shared" si="13"/>
        <v>18657101281</v>
      </c>
      <c r="E60">
        <f t="shared" si="14"/>
        <v>18657076317</v>
      </c>
      <c r="F60">
        <f t="shared" si="15"/>
        <v>0</v>
      </c>
      <c r="G60">
        <f t="shared" si="16"/>
        <v>0.90861766753369011</v>
      </c>
      <c r="H60">
        <f t="shared" si="17"/>
        <v>2989440</v>
      </c>
      <c r="I60">
        <f t="shared" si="18"/>
        <v>136591</v>
      </c>
      <c r="J60" s="10" t="s">
        <v>564</v>
      </c>
      <c r="K60" s="3" t="s">
        <v>678</v>
      </c>
      <c r="L60">
        <f t="shared" si="9"/>
        <v>0</v>
      </c>
      <c r="M60">
        <f t="shared" si="10"/>
        <v>0</v>
      </c>
      <c r="N60">
        <f t="shared" si="11"/>
        <v>0</v>
      </c>
    </row>
    <row r="61" spans="1:14" x14ac:dyDescent="0.55000000000000004">
      <c r="A61">
        <v>389</v>
      </c>
      <c r="B61" s="2">
        <v>8450</v>
      </c>
      <c r="C61" s="2">
        <f t="shared" si="12"/>
        <v>-2</v>
      </c>
      <c r="D61">
        <f t="shared" si="13"/>
        <v>27775589400</v>
      </c>
      <c r="E61">
        <f t="shared" si="14"/>
        <v>27775555600</v>
      </c>
      <c r="F61">
        <f t="shared" si="15"/>
        <v>0.10140402530669235</v>
      </c>
      <c r="G61">
        <f t="shared" si="16"/>
        <v>0</v>
      </c>
      <c r="H61">
        <f t="shared" si="17"/>
        <v>3287049</v>
      </c>
      <c r="I61">
        <f t="shared" si="18"/>
        <v>166660</v>
      </c>
      <c r="J61" s="10" t="s">
        <v>557</v>
      </c>
      <c r="K61" s="3" t="s">
        <v>669</v>
      </c>
      <c r="L61">
        <f t="shared" si="9"/>
        <v>1</v>
      </c>
      <c r="M61">
        <f t="shared" si="10"/>
        <v>3</v>
      </c>
      <c r="N61">
        <f t="shared" si="11"/>
        <v>4</v>
      </c>
    </row>
    <row r="62" spans="1:14" x14ac:dyDescent="0.55000000000000004">
      <c r="A62">
        <v>251</v>
      </c>
      <c r="B62" s="2">
        <v>14641</v>
      </c>
      <c r="C62" s="2">
        <f t="shared" si="12"/>
        <v>-2</v>
      </c>
      <c r="D62">
        <f t="shared" si="13"/>
        <v>53804108413</v>
      </c>
      <c r="E62">
        <f t="shared" si="14"/>
        <v>53804049849</v>
      </c>
      <c r="F62">
        <f t="shared" si="15"/>
        <v>0.12623888062080368</v>
      </c>
      <c r="G62">
        <f t="shared" si="16"/>
        <v>0</v>
      </c>
      <c r="H62">
        <f t="shared" si="17"/>
        <v>3674890</v>
      </c>
      <c r="I62">
        <f t="shared" si="18"/>
        <v>231957</v>
      </c>
      <c r="J62" s="10" t="s">
        <v>540</v>
      </c>
      <c r="K62" s="4" t="s">
        <v>647</v>
      </c>
      <c r="L62">
        <f t="shared" si="9"/>
        <v>0</v>
      </c>
      <c r="M62">
        <f t="shared" si="10"/>
        <v>0</v>
      </c>
      <c r="N62">
        <f t="shared" si="11"/>
        <v>0</v>
      </c>
    </row>
    <row r="63" spans="1:14" x14ac:dyDescent="0.55000000000000004">
      <c r="A63">
        <v>179</v>
      </c>
      <c r="B63" s="2">
        <v>23409</v>
      </c>
      <c r="C63" s="2">
        <f t="shared" si="12"/>
        <v>-2</v>
      </c>
      <c r="D63">
        <f t="shared" si="13"/>
        <v>98088696117</v>
      </c>
      <c r="E63">
        <f t="shared" si="14"/>
        <v>98088602481</v>
      </c>
      <c r="F63">
        <f t="shared" si="15"/>
        <v>0.14948701852699742</v>
      </c>
      <c r="G63">
        <f t="shared" si="16"/>
        <v>0</v>
      </c>
      <c r="H63">
        <f t="shared" si="17"/>
        <v>4190210</v>
      </c>
      <c r="I63">
        <f t="shared" si="18"/>
        <v>313191</v>
      </c>
      <c r="J63" s="10" t="s">
        <v>530</v>
      </c>
      <c r="K63" s="4" t="s">
        <v>635</v>
      </c>
      <c r="L63">
        <f t="shared" si="9"/>
        <v>0</v>
      </c>
      <c r="M63">
        <v>0</v>
      </c>
      <c r="N63">
        <f t="shared" si="11"/>
        <v>0</v>
      </c>
    </row>
    <row r="64" spans="1:14" x14ac:dyDescent="0.55000000000000004">
      <c r="A64">
        <v>127</v>
      </c>
      <c r="B64" s="2">
        <v>37249</v>
      </c>
      <c r="C64" s="2">
        <f t="shared" si="12"/>
        <v>2</v>
      </c>
      <c r="D64">
        <f t="shared" si="13"/>
        <v>176211050625</v>
      </c>
      <c r="E64">
        <f t="shared" si="14"/>
        <v>176210901629</v>
      </c>
      <c r="F64">
        <f t="shared" si="15"/>
        <v>0</v>
      </c>
      <c r="G64">
        <f t="shared" si="16"/>
        <v>0.82252869813237339</v>
      </c>
      <c r="H64">
        <f t="shared" si="17"/>
        <v>4730624</v>
      </c>
      <c r="I64">
        <f t="shared" si="18"/>
        <v>419775</v>
      </c>
      <c r="J64" s="11" t="s">
        <v>522</v>
      </c>
      <c r="K64" s="3" t="s">
        <v>626</v>
      </c>
      <c r="L64">
        <f t="shared" si="9"/>
        <v>0</v>
      </c>
      <c r="M64">
        <v>0</v>
      </c>
      <c r="N64">
        <f t="shared" si="11"/>
        <v>0</v>
      </c>
    </row>
    <row r="65" spans="1:14" x14ac:dyDescent="0.55000000000000004">
      <c r="A65">
        <v>229</v>
      </c>
      <c r="B65" s="2">
        <v>25538</v>
      </c>
      <c r="C65" s="2">
        <f t="shared" si="12"/>
        <v>-2</v>
      </c>
      <c r="D65">
        <f t="shared" si="13"/>
        <v>149351433752</v>
      </c>
      <c r="E65">
        <f t="shared" si="14"/>
        <v>149351331600</v>
      </c>
      <c r="F65">
        <f t="shared" si="15"/>
        <v>0.13216372008901089</v>
      </c>
      <c r="G65">
        <f t="shared" si="16"/>
        <v>0</v>
      </c>
      <c r="H65">
        <f t="shared" si="17"/>
        <v>5848201</v>
      </c>
      <c r="I65">
        <f t="shared" si="18"/>
        <v>386460</v>
      </c>
      <c r="J65" s="11" t="s">
        <v>536</v>
      </c>
      <c r="K65" s="3" t="s">
        <v>643</v>
      </c>
      <c r="L65">
        <f t="shared" si="9"/>
        <v>1</v>
      </c>
      <c r="M65">
        <f t="shared" si="10"/>
        <v>3</v>
      </c>
      <c r="N65">
        <f t="shared" si="11"/>
        <v>4</v>
      </c>
    </row>
    <row r="66" spans="1:14" x14ac:dyDescent="0.55000000000000004">
      <c r="A66">
        <v>137</v>
      </c>
      <c r="B66" s="2">
        <v>44402</v>
      </c>
      <c r="C66" s="2">
        <f t="shared" ref="C66:C97" si="19">IF(G66=0,-2,2)</f>
        <v>-2</v>
      </c>
      <c r="D66">
        <f t="shared" ref="D66:D97" si="20">B66*(B66*A66+2)</f>
        <v>270100740552</v>
      </c>
      <c r="E66">
        <f t="shared" ref="E66:E97" si="21">B66*(B66*A66-2)</f>
        <v>270100562944</v>
      </c>
      <c r="F66">
        <f t="shared" ref="F66:F97" si="22">SQRT(D66)-_xlfn.FLOOR.MATH(SQRT(D66))</f>
        <v>0.1708715315326117</v>
      </c>
      <c r="G66">
        <f t="shared" ref="G66:G97" si="23">SQRT(E66)-_xlfn.FLOOR.MATH(SQRT(E66))</f>
        <v>0</v>
      </c>
      <c r="H66">
        <f t="shared" ref="H66:H97" si="24">IF(G66=0,B66*A66-1,B66*A66+1)</f>
        <v>6083073</v>
      </c>
      <c r="I66">
        <f t="shared" ref="I66:I97" si="25">SQRT((H66*H66-1)/A66)</f>
        <v>519712</v>
      </c>
      <c r="J66" s="11" t="s">
        <v>523</v>
      </c>
      <c r="K66" s="3" t="s">
        <v>628</v>
      </c>
      <c r="L66">
        <f t="shared" si="9"/>
        <v>1</v>
      </c>
      <c r="M66">
        <f t="shared" si="10"/>
        <v>9</v>
      </c>
      <c r="N66">
        <f t="shared" si="11"/>
        <v>10</v>
      </c>
    </row>
    <row r="67" spans="1:14" x14ac:dyDescent="0.55000000000000004">
      <c r="A67">
        <v>239</v>
      </c>
      <c r="B67" s="2">
        <v>25921</v>
      </c>
      <c r="C67" s="2">
        <f t="shared" si="19"/>
        <v>2</v>
      </c>
      <c r="D67">
        <f t="shared" si="20"/>
        <v>160583731441</v>
      </c>
      <c r="E67">
        <f t="shared" si="21"/>
        <v>160583627757</v>
      </c>
      <c r="F67">
        <f t="shared" si="22"/>
        <v>0</v>
      </c>
      <c r="G67">
        <f t="shared" si="23"/>
        <v>0.87063075450714678</v>
      </c>
      <c r="H67">
        <f t="shared" si="24"/>
        <v>6195120</v>
      </c>
      <c r="I67">
        <f t="shared" si="25"/>
        <v>400729</v>
      </c>
      <c r="J67" s="10" t="s">
        <v>538</v>
      </c>
      <c r="K67" s="3" t="s">
        <v>645</v>
      </c>
      <c r="L67">
        <v>0</v>
      </c>
      <c r="M67">
        <f t="shared" ref="M67:M129" si="26">LEN(K67)-LEN(SUBSTITUTE(K67,"2",""))</f>
        <v>0</v>
      </c>
      <c r="N67">
        <f t="shared" ref="N67:N130" si="27">L67+M67</f>
        <v>0</v>
      </c>
    </row>
    <row r="68" spans="1:14" x14ac:dyDescent="0.55000000000000004">
      <c r="A68">
        <v>191</v>
      </c>
      <c r="B68" s="2">
        <v>47089</v>
      </c>
      <c r="C68" s="2">
        <f t="shared" si="19"/>
        <v>2</v>
      </c>
      <c r="D68">
        <f t="shared" si="20"/>
        <v>423518513089</v>
      </c>
      <c r="E68">
        <f t="shared" si="21"/>
        <v>423518324733</v>
      </c>
      <c r="F68">
        <f t="shared" si="22"/>
        <v>0</v>
      </c>
      <c r="G68">
        <f t="shared" si="23"/>
        <v>0.85528507898561656</v>
      </c>
      <c r="H68">
        <f t="shared" si="24"/>
        <v>8994000</v>
      </c>
      <c r="I68">
        <f t="shared" si="25"/>
        <v>650783</v>
      </c>
      <c r="J68" s="10" t="s">
        <v>532</v>
      </c>
      <c r="K68" s="3" t="s">
        <v>637</v>
      </c>
      <c r="L68">
        <f t="shared" ref="L68:L125" si="28">LEN(J68)-LEN(SUBSTITUTE(J68,"2",""))</f>
        <v>0</v>
      </c>
      <c r="M68">
        <v>0</v>
      </c>
      <c r="N68">
        <f t="shared" si="27"/>
        <v>0</v>
      </c>
    </row>
    <row r="69" spans="1:14" x14ac:dyDescent="0.55000000000000004">
      <c r="A69">
        <v>293</v>
      </c>
      <c r="B69" s="2">
        <v>42050</v>
      </c>
      <c r="C69" s="2">
        <f t="shared" si="19"/>
        <v>-2</v>
      </c>
      <c r="D69">
        <f t="shared" si="20"/>
        <v>518083416600</v>
      </c>
      <c r="E69">
        <f t="shared" si="21"/>
        <v>518083248400</v>
      </c>
      <c r="F69">
        <f t="shared" si="22"/>
        <v>0.11684124753810465</v>
      </c>
      <c r="G69">
        <f t="shared" si="23"/>
        <v>0</v>
      </c>
      <c r="H69">
        <f t="shared" si="24"/>
        <v>12320649</v>
      </c>
      <c r="I69">
        <f t="shared" si="25"/>
        <v>719780</v>
      </c>
      <c r="J69" s="10" t="s">
        <v>545</v>
      </c>
      <c r="K69" s="3" t="s">
        <v>654</v>
      </c>
      <c r="L69">
        <v>1</v>
      </c>
      <c r="M69">
        <f t="shared" si="26"/>
        <v>3</v>
      </c>
      <c r="N69">
        <f t="shared" si="27"/>
        <v>4</v>
      </c>
    </row>
    <row r="70" spans="1:14" x14ac:dyDescent="0.55000000000000004">
      <c r="A70">
        <v>311</v>
      </c>
      <c r="B70" s="2">
        <v>54289</v>
      </c>
      <c r="C70" s="2">
        <f t="shared" si="19"/>
        <v>2</v>
      </c>
      <c r="D70">
        <f t="shared" si="20"/>
        <v>916609015609</v>
      </c>
      <c r="E70">
        <f t="shared" si="21"/>
        <v>916608798453</v>
      </c>
      <c r="F70">
        <f t="shared" si="22"/>
        <v>0</v>
      </c>
      <c r="G70">
        <f t="shared" si="23"/>
        <v>0.88659040455240756</v>
      </c>
      <c r="H70">
        <f t="shared" si="24"/>
        <v>16883880</v>
      </c>
      <c r="I70">
        <f t="shared" si="25"/>
        <v>957397</v>
      </c>
      <c r="J70" s="11" t="s">
        <v>547</v>
      </c>
      <c r="K70" s="3" t="s">
        <v>656</v>
      </c>
      <c r="L70">
        <v>0</v>
      </c>
      <c r="M70">
        <f t="shared" si="26"/>
        <v>0</v>
      </c>
      <c r="N70">
        <f t="shared" si="27"/>
        <v>0</v>
      </c>
    </row>
    <row r="71" spans="1:14" x14ac:dyDescent="0.55000000000000004">
      <c r="A71">
        <v>373</v>
      </c>
      <c r="B71" s="2">
        <v>140450</v>
      </c>
      <c r="C71" s="2">
        <f t="shared" si="19"/>
        <v>-2</v>
      </c>
      <c r="D71">
        <f t="shared" si="20"/>
        <v>7357873813400</v>
      </c>
      <c r="E71">
        <f t="shared" si="21"/>
        <v>7357873251600</v>
      </c>
      <c r="F71">
        <f t="shared" si="22"/>
        <v>0.10355607466772199</v>
      </c>
      <c r="G71">
        <f t="shared" si="23"/>
        <v>0</v>
      </c>
      <c r="H71">
        <f t="shared" si="24"/>
        <v>52387849</v>
      </c>
      <c r="I71">
        <f t="shared" si="25"/>
        <v>2712540</v>
      </c>
      <c r="J71" s="3" t="s">
        <v>506</v>
      </c>
      <c r="K71" s="3" t="s">
        <v>666</v>
      </c>
      <c r="L71">
        <f t="shared" si="28"/>
        <v>1</v>
      </c>
      <c r="M71">
        <f t="shared" si="26"/>
        <v>3</v>
      </c>
      <c r="N71">
        <f t="shared" si="27"/>
        <v>4</v>
      </c>
    </row>
    <row r="72" spans="1:14" x14ac:dyDescent="0.55000000000000004">
      <c r="A72">
        <v>97</v>
      </c>
      <c r="B72" s="2">
        <v>647522</v>
      </c>
      <c r="C72" s="2">
        <f t="shared" si="19"/>
        <v>-2</v>
      </c>
      <c r="D72">
        <f t="shared" si="20"/>
        <v>40670621121992</v>
      </c>
      <c r="E72">
        <f t="shared" si="21"/>
        <v>40670618531904</v>
      </c>
      <c r="F72">
        <f t="shared" si="22"/>
        <v>0.2030692333355546</v>
      </c>
      <c r="G72">
        <f t="shared" si="23"/>
        <v>0</v>
      </c>
      <c r="H72">
        <f t="shared" si="24"/>
        <v>62809633</v>
      </c>
      <c r="I72">
        <f t="shared" si="25"/>
        <v>6377352</v>
      </c>
      <c r="J72" s="11" t="s">
        <v>518</v>
      </c>
      <c r="K72" s="3" t="s">
        <v>621</v>
      </c>
      <c r="L72">
        <f t="shared" si="28"/>
        <v>1</v>
      </c>
      <c r="M72">
        <f t="shared" si="26"/>
        <v>5</v>
      </c>
      <c r="N72">
        <f t="shared" si="27"/>
        <v>6</v>
      </c>
    </row>
    <row r="73" spans="1:14" x14ac:dyDescent="0.55000000000000004">
      <c r="A73">
        <v>163</v>
      </c>
      <c r="B73" s="2">
        <v>393129</v>
      </c>
      <c r="C73" s="2">
        <f t="shared" si="19"/>
        <v>-2</v>
      </c>
      <c r="D73">
        <f t="shared" si="20"/>
        <v>25191717720741</v>
      </c>
      <c r="E73">
        <f t="shared" si="21"/>
        <v>25191716148225</v>
      </c>
      <c r="F73">
        <f t="shared" si="22"/>
        <v>0.15665209013968706</v>
      </c>
      <c r="G73">
        <f t="shared" si="23"/>
        <v>0</v>
      </c>
      <c r="H73">
        <f t="shared" si="24"/>
        <v>64080026</v>
      </c>
      <c r="I73">
        <f t="shared" si="25"/>
        <v>5019135</v>
      </c>
      <c r="J73" s="10" t="s">
        <v>528</v>
      </c>
      <c r="K73" s="4" t="s">
        <v>633</v>
      </c>
      <c r="L73">
        <f t="shared" si="28"/>
        <v>0</v>
      </c>
      <c r="M73">
        <f t="shared" si="26"/>
        <v>0</v>
      </c>
      <c r="N73">
        <f t="shared" si="27"/>
        <v>0</v>
      </c>
    </row>
    <row r="74" spans="1:14" x14ac:dyDescent="0.55000000000000004">
      <c r="A74">
        <v>139</v>
      </c>
      <c r="B74" s="2">
        <v>558009</v>
      </c>
      <c r="C74" s="2">
        <f t="shared" si="19"/>
        <v>-2</v>
      </c>
      <c r="D74">
        <f t="shared" si="20"/>
        <v>43280993243277</v>
      </c>
      <c r="E74">
        <f t="shared" si="21"/>
        <v>43280991011241</v>
      </c>
      <c r="F74">
        <f t="shared" si="22"/>
        <v>0.16963778622448444</v>
      </c>
      <c r="G74">
        <f t="shared" si="23"/>
        <v>0</v>
      </c>
      <c r="H74">
        <f t="shared" si="24"/>
        <v>77563250</v>
      </c>
      <c r="I74">
        <f t="shared" si="25"/>
        <v>6578829</v>
      </c>
      <c r="J74" s="10" t="s">
        <v>524</v>
      </c>
      <c r="K74" s="4" t="s">
        <v>629</v>
      </c>
      <c r="L74">
        <f t="shared" si="28"/>
        <v>0</v>
      </c>
      <c r="M74">
        <f t="shared" si="26"/>
        <v>0</v>
      </c>
      <c r="N74">
        <f t="shared" si="27"/>
        <v>0</v>
      </c>
    </row>
    <row r="75" spans="1:14" x14ac:dyDescent="0.55000000000000004">
      <c r="A75">
        <v>307</v>
      </c>
      <c r="B75" s="2">
        <v>288369</v>
      </c>
      <c r="C75" s="2">
        <f t="shared" si="19"/>
        <v>-2</v>
      </c>
      <c r="D75">
        <f t="shared" si="20"/>
        <v>25529101386165</v>
      </c>
      <c r="E75">
        <f t="shared" si="21"/>
        <v>25529100232689</v>
      </c>
      <c r="F75">
        <f t="shared" si="22"/>
        <v>0.11414602864533663</v>
      </c>
      <c r="G75">
        <f t="shared" si="23"/>
        <v>0</v>
      </c>
      <c r="H75">
        <f t="shared" si="24"/>
        <v>88529282</v>
      </c>
      <c r="I75">
        <f t="shared" si="25"/>
        <v>5052633</v>
      </c>
      <c r="J75" s="10" t="s">
        <v>546</v>
      </c>
      <c r="K75" s="3" t="s">
        <v>655</v>
      </c>
      <c r="L75">
        <f t="shared" si="28"/>
        <v>0</v>
      </c>
      <c r="M75">
        <f t="shared" si="26"/>
        <v>0</v>
      </c>
      <c r="N75">
        <f t="shared" si="27"/>
        <v>0</v>
      </c>
    </row>
    <row r="76" spans="1:14" x14ac:dyDescent="0.55000000000000004">
      <c r="A76">
        <v>647</v>
      </c>
      <c r="B76" s="2">
        <v>185761</v>
      </c>
      <c r="C76" s="2">
        <f t="shared" si="19"/>
        <v>2</v>
      </c>
      <c r="D76">
        <f t="shared" si="20"/>
        <v>22326125852809</v>
      </c>
      <c r="E76">
        <f t="shared" si="21"/>
        <v>22326125109765</v>
      </c>
      <c r="F76">
        <f t="shared" si="22"/>
        <v>0</v>
      </c>
      <c r="G76">
        <f t="shared" si="23"/>
        <v>0.92137188650667667</v>
      </c>
      <c r="H76">
        <f t="shared" si="24"/>
        <v>120187368</v>
      </c>
      <c r="I76">
        <f t="shared" si="25"/>
        <v>4725053</v>
      </c>
      <c r="J76" s="11" t="s">
        <v>580</v>
      </c>
      <c r="K76" s="3" t="s">
        <v>698</v>
      </c>
      <c r="L76">
        <f t="shared" si="28"/>
        <v>0</v>
      </c>
      <c r="M76">
        <f t="shared" si="26"/>
        <v>0</v>
      </c>
      <c r="N76">
        <f t="shared" si="27"/>
        <v>0</v>
      </c>
    </row>
    <row r="77" spans="1:14" x14ac:dyDescent="0.55000000000000004">
      <c r="A77">
        <v>283</v>
      </c>
      <c r="B77" s="2">
        <v>488601</v>
      </c>
      <c r="C77" s="2">
        <f t="shared" si="19"/>
        <v>-2</v>
      </c>
      <c r="D77">
        <f t="shared" si="20"/>
        <v>67560856205085</v>
      </c>
      <c r="E77">
        <f t="shared" si="21"/>
        <v>67560854250681</v>
      </c>
      <c r="F77">
        <f t="shared" si="22"/>
        <v>0.11888766009360552</v>
      </c>
      <c r="G77">
        <f t="shared" si="23"/>
        <v>0</v>
      </c>
      <c r="H77">
        <f t="shared" si="24"/>
        <v>138274082</v>
      </c>
      <c r="I77">
        <f t="shared" si="25"/>
        <v>8219541</v>
      </c>
      <c r="J77" s="10" t="s">
        <v>544</v>
      </c>
      <c r="K77" s="3" t="s">
        <v>653</v>
      </c>
      <c r="L77">
        <v>0</v>
      </c>
      <c r="M77">
        <f t="shared" si="26"/>
        <v>0</v>
      </c>
      <c r="N77">
        <f t="shared" si="27"/>
        <v>0</v>
      </c>
    </row>
    <row r="78" spans="1:14" x14ac:dyDescent="0.55000000000000004">
      <c r="A78">
        <v>431</v>
      </c>
      <c r="B78" s="2">
        <v>351649</v>
      </c>
      <c r="C78" s="2">
        <f t="shared" si="19"/>
        <v>2</v>
      </c>
      <c r="D78">
        <f t="shared" si="20"/>
        <v>53296175978929</v>
      </c>
      <c r="E78">
        <f t="shared" si="21"/>
        <v>53296174572333</v>
      </c>
      <c r="F78">
        <f t="shared" si="22"/>
        <v>0</v>
      </c>
      <c r="G78">
        <f t="shared" si="23"/>
        <v>0.90366338938474655</v>
      </c>
      <c r="H78">
        <f t="shared" si="24"/>
        <v>151560720</v>
      </c>
      <c r="I78">
        <f t="shared" si="25"/>
        <v>7300423</v>
      </c>
      <c r="J78" s="11" t="s">
        <v>559</v>
      </c>
      <c r="K78" s="3" t="s">
        <v>672</v>
      </c>
      <c r="L78">
        <f t="shared" si="28"/>
        <v>0</v>
      </c>
      <c r="M78">
        <f t="shared" si="26"/>
        <v>0</v>
      </c>
      <c r="N78">
        <f t="shared" si="27"/>
        <v>0</v>
      </c>
    </row>
    <row r="79" spans="1:14" x14ac:dyDescent="0.55000000000000004">
      <c r="A79">
        <v>349</v>
      </c>
      <c r="B79" s="2">
        <v>486098</v>
      </c>
      <c r="C79" s="2">
        <f t="shared" si="19"/>
        <v>-2</v>
      </c>
      <c r="D79">
        <f t="shared" si="20"/>
        <v>82465652667992</v>
      </c>
      <c r="E79">
        <f t="shared" si="21"/>
        <v>82465650723600</v>
      </c>
      <c r="F79">
        <f t="shared" si="22"/>
        <v>0.10705754533410072</v>
      </c>
      <c r="G79">
        <f t="shared" si="23"/>
        <v>0</v>
      </c>
      <c r="H79">
        <f t="shared" si="24"/>
        <v>169648201</v>
      </c>
      <c r="I79">
        <f t="shared" si="25"/>
        <v>9081060</v>
      </c>
      <c r="J79" s="10" t="s">
        <v>553</v>
      </c>
      <c r="K79" s="3" t="s">
        <v>662</v>
      </c>
      <c r="L79">
        <v>1</v>
      </c>
      <c r="M79">
        <f t="shared" si="26"/>
        <v>3</v>
      </c>
      <c r="N79">
        <f t="shared" si="27"/>
        <v>4</v>
      </c>
    </row>
    <row r="80" spans="1:14" x14ac:dyDescent="0.55000000000000004">
      <c r="A80">
        <v>683</v>
      </c>
      <c r="B80" s="2">
        <v>249001</v>
      </c>
      <c r="C80" s="2">
        <f t="shared" si="19"/>
        <v>-2</v>
      </c>
      <c r="D80">
        <f t="shared" si="20"/>
        <v>42347023632685</v>
      </c>
      <c r="E80">
        <f t="shared" si="21"/>
        <v>42347022636681</v>
      </c>
      <c r="F80">
        <f t="shared" si="22"/>
        <v>7.6527873054146767E-2</v>
      </c>
      <c r="G80">
        <f t="shared" si="23"/>
        <v>0</v>
      </c>
      <c r="H80">
        <f t="shared" si="24"/>
        <v>170067682</v>
      </c>
      <c r="I80">
        <f t="shared" si="25"/>
        <v>6507459</v>
      </c>
      <c r="J80" s="11" t="s">
        <v>582</v>
      </c>
      <c r="K80" s="4" t="s">
        <v>702</v>
      </c>
      <c r="L80">
        <f t="shared" si="28"/>
        <v>0</v>
      </c>
      <c r="M80">
        <v>0</v>
      </c>
      <c r="N80">
        <f t="shared" si="27"/>
        <v>0</v>
      </c>
    </row>
    <row r="81" spans="1:14" x14ac:dyDescent="0.55000000000000004">
      <c r="A81">
        <v>733</v>
      </c>
      <c r="B81" s="2">
        <v>266450</v>
      </c>
      <c r="C81" s="2">
        <f t="shared" si="19"/>
        <v>-2</v>
      </c>
      <c r="D81">
        <f t="shared" si="20"/>
        <v>52039777165400</v>
      </c>
      <c r="E81">
        <f t="shared" si="21"/>
        <v>52039776099600</v>
      </c>
      <c r="F81">
        <f t="shared" si="22"/>
        <v>7.3871685191988945E-2</v>
      </c>
      <c r="G81">
        <f t="shared" si="23"/>
        <v>0</v>
      </c>
      <c r="H81">
        <f t="shared" si="24"/>
        <v>195307849</v>
      </c>
      <c r="I81">
        <f t="shared" si="25"/>
        <v>7213860</v>
      </c>
      <c r="J81" s="10" t="s">
        <v>586</v>
      </c>
      <c r="K81" s="3" t="s">
        <v>706</v>
      </c>
      <c r="L81">
        <f t="shared" si="28"/>
        <v>1</v>
      </c>
      <c r="M81">
        <f t="shared" si="26"/>
        <v>3</v>
      </c>
      <c r="N81">
        <f t="shared" si="27"/>
        <v>4</v>
      </c>
    </row>
    <row r="82" spans="1:14" x14ac:dyDescent="0.55000000000000004">
      <c r="A82">
        <v>419</v>
      </c>
      <c r="B82" s="2">
        <v>644809</v>
      </c>
      <c r="C82" s="2">
        <f t="shared" si="19"/>
        <v>-2</v>
      </c>
      <c r="D82">
        <f t="shared" si="20"/>
        <v>174211254165157</v>
      </c>
      <c r="E82">
        <f t="shared" si="21"/>
        <v>174211251585921</v>
      </c>
      <c r="F82">
        <f t="shared" si="22"/>
        <v>9.7706394270062447E-2</v>
      </c>
      <c r="G82">
        <f t="shared" si="23"/>
        <v>0</v>
      </c>
      <c r="H82">
        <f t="shared" si="24"/>
        <v>270174970</v>
      </c>
      <c r="I82">
        <f t="shared" si="25"/>
        <v>13198911</v>
      </c>
      <c r="J82" s="10" t="s">
        <v>558</v>
      </c>
      <c r="K82" s="3" t="s">
        <v>671</v>
      </c>
      <c r="L82">
        <f t="shared" si="28"/>
        <v>0</v>
      </c>
      <c r="M82">
        <f t="shared" si="26"/>
        <v>0</v>
      </c>
      <c r="N82">
        <f t="shared" si="27"/>
        <v>0</v>
      </c>
    </row>
    <row r="83" spans="1:14" x14ac:dyDescent="0.55000000000000004">
      <c r="A83">
        <v>701</v>
      </c>
      <c r="B83" s="2">
        <v>396050</v>
      </c>
      <c r="C83" s="2">
        <f t="shared" si="19"/>
        <v>-2</v>
      </c>
      <c r="D83">
        <f t="shared" si="20"/>
        <v>109955778144600</v>
      </c>
      <c r="E83">
        <f t="shared" si="21"/>
        <v>109955776560400</v>
      </c>
      <c r="F83">
        <f t="shared" si="22"/>
        <v>7.5538957491517067E-2</v>
      </c>
      <c r="G83">
        <f t="shared" si="23"/>
        <v>0</v>
      </c>
      <c r="H83">
        <f t="shared" si="24"/>
        <v>277631049</v>
      </c>
      <c r="I83">
        <f t="shared" si="25"/>
        <v>10485980</v>
      </c>
      <c r="J83" s="10" t="s">
        <v>583</v>
      </c>
      <c r="K83" s="3" t="s">
        <v>703</v>
      </c>
      <c r="L83">
        <f t="shared" si="28"/>
        <v>1</v>
      </c>
      <c r="M83">
        <f t="shared" si="26"/>
        <v>3</v>
      </c>
      <c r="N83">
        <f t="shared" si="27"/>
        <v>4</v>
      </c>
    </row>
    <row r="84" spans="1:14" x14ac:dyDescent="0.55000000000000004">
      <c r="A84">
        <v>233</v>
      </c>
      <c r="B84" s="2">
        <v>4602578</v>
      </c>
      <c r="C84" s="2">
        <f t="shared" si="19"/>
        <v>-2</v>
      </c>
      <c r="D84">
        <f t="shared" si="20"/>
        <v>4935807758542728</v>
      </c>
      <c r="E84">
        <f t="shared" si="21"/>
        <v>4935807740132416</v>
      </c>
      <c r="F84">
        <f t="shared" si="22"/>
        <v>0.13102436065673828</v>
      </c>
      <c r="G84">
        <f t="shared" si="23"/>
        <v>0</v>
      </c>
      <c r="H84">
        <f t="shared" si="24"/>
        <v>1072400673</v>
      </c>
      <c r="I84">
        <f t="shared" si="25"/>
        <v>70255304</v>
      </c>
      <c r="J84" s="10" t="s">
        <v>537</v>
      </c>
      <c r="K84" s="3" t="s">
        <v>644</v>
      </c>
      <c r="L84">
        <f t="shared" si="28"/>
        <v>1</v>
      </c>
      <c r="M84">
        <f t="shared" si="26"/>
        <v>7</v>
      </c>
      <c r="N84">
        <f t="shared" si="27"/>
        <v>8</v>
      </c>
    </row>
    <row r="85" spans="1:14" x14ac:dyDescent="0.55000000000000004">
      <c r="A85">
        <v>151</v>
      </c>
      <c r="B85" s="2">
        <v>11444689</v>
      </c>
      <c r="C85" s="2">
        <f t="shared" si="19"/>
        <v>2</v>
      </c>
      <c r="D85">
        <f t="shared" si="20"/>
        <v>1.9778116875204248E+16</v>
      </c>
      <c r="E85">
        <f t="shared" si="21"/>
        <v>1.9778116829425492E+16</v>
      </c>
      <c r="F85">
        <f t="shared" si="22"/>
        <v>0</v>
      </c>
      <c r="G85">
        <f t="shared" si="23"/>
        <v>0.83724230527877808</v>
      </c>
      <c r="H85">
        <f t="shared" si="24"/>
        <v>1728148040</v>
      </c>
      <c r="I85">
        <f t="shared" si="25"/>
        <v>140634693</v>
      </c>
      <c r="J85" s="10" t="s">
        <v>526</v>
      </c>
      <c r="K85" s="3" t="s">
        <v>631</v>
      </c>
      <c r="L85">
        <f t="shared" si="28"/>
        <v>0</v>
      </c>
      <c r="M85">
        <f t="shared" si="26"/>
        <v>0</v>
      </c>
      <c r="N85">
        <f t="shared" si="27"/>
        <v>0</v>
      </c>
    </row>
    <row r="86" spans="1:14" x14ac:dyDescent="0.55000000000000004">
      <c r="A86">
        <v>61</v>
      </c>
      <c r="B86" s="2">
        <v>28956050</v>
      </c>
      <c r="C86" s="2">
        <f t="shared" si="19"/>
        <v>-2</v>
      </c>
      <c r="D86">
        <f t="shared" si="20"/>
        <v>5.11456227856646E+16</v>
      </c>
      <c r="E86">
        <f t="shared" si="21"/>
        <v>5.11456226698404E+16</v>
      </c>
      <c r="F86">
        <f t="shared" si="22"/>
        <v>0.25607377290725708</v>
      </c>
      <c r="G86">
        <f t="shared" si="23"/>
        <v>0</v>
      </c>
      <c r="H86">
        <f t="shared" si="24"/>
        <v>1766319049</v>
      </c>
      <c r="I86">
        <f t="shared" si="25"/>
        <v>226153980</v>
      </c>
      <c r="J86" s="10" t="s">
        <v>514</v>
      </c>
      <c r="K86" s="3" t="s">
        <v>617</v>
      </c>
      <c r="L86">
        <f t="shared" si="28"/>
        <v>1</v>
      </c>
      <c r="M86">
        <f t="shared" si="26"/>
        <v>5</v>
      </c>
      <c r="N86">
        <f t="shared" si="27"/>
        <v>6</v>
      </c>
    </row>
    <row r="87" spans="1:14" x14ac:dyDescent="0.55000000000000004">
      <c r="A87">
        <v>353</v>
      </c>
      <c r="B87" s="2">
        <v>28773698</v>
      </c>
      <c r="C87" s="2">
        <f t="shared" si="19"/>
        <v>-2</v>
      </c>
      <c r="D87">
        <f t="shared" si="20"/>
        <v>2.922577709556544E+17</v>
      </c>
      <c r="E87">
        <f t="shared" si="21"/>
        <v>2.9225777084055962E+17</v>
      </c>
      <c r="F87">
        <f t="shared" si="22"/>
        <v>0.10644924640655518</v>
      </c>
      <c r="G87">
        <f t="shared" si="23"/>
        <v>0</v>
      </c>
      <c r="H87">
        <f t="shared" si="24"/>
        <v>10157115393</v>
      </c>
      <c r="I87">
        <f t="shared" si="25"/>
        <v>540608704</v>
      </c>
      <c r="J87" s="11" t="s">
        <v>554</v>
      </c>
      <c r="K87" s="3" t="s">
        <v>663</v>
      </c>
      <c r="L87">
        <f t="shared" si="28"/>
        <v>1</v>
      </c>
      <c r="M87">
        <f t="shared" si="26"/>
        <v>11</v>
      </c>
      <c r="N87">
        <f t="shared" si="27"/>
        <v>12</v>
      </c>
    </row>
    <row r="88" spans="1:14" x14ac:dyDescent="0.55000000000000004">
      <c r="A88">
        <v>947</v>
      </c>
      <c r="B88" s="2">
        <v>14265729</v>
      </c>
      <c r="C88" s="2">
        <f t="shared" si="19"/>
        <v>-2</v>
      </c>
      <c r="D88">
        <f t="shared" si="20"/>
        <v>1.927249396631961E+17</v>
      </c>
      <c r="E88">
        <f t="shared" si="21"/>
        <v>1.9272493960613318E+17</v>
      </c>
      <c r="F88">
        <f t="shared" si="22"/>
        <v>6.4991295337677002E-2</v>
      </c>
      <c r="G88">
        <f t="shared" si="23"/>
        <v>0</v>
      </c>
      <c r="H88">
        <f t="shared" si="24"/>
        <v>13509645362</v>
      </c>
      <c r="I88">
        <f t="shared" si="25"/>
        <v>439004487</v>
      </c>
      <c r="J88" s="10" t="s">
        <v>601</v>
      </c>
      <c r="K88" s="4" t="s">
        <v>723</v>
      </c>
      <c r="L88">
        <v>0</v>
      </c>
      <c r="M88">
        <v>0</v>
      </c>
      <c r="N88">
        <f t="shared" si="27"/>
        <v>0</v>
      </c>
    </row>
    <row r="89" spans="1:14" x14ac:dyDescent="0.55000000000000004">
      <c r="A89">
        <v>997</v>
      </c>
      <c r="B89" s="9">
        <v>14461442</v>
      </c>
      <c r="C89" s="9">
        <f t="shared" si="19"/>
        <v>-2</v>
      </c>
      <c r="D89">
        <f t="shared" si="20"/>
        <v>2.085059048341288E+17</v>
      </c>
      <c r="E89">
        <f t="shared" si="21"/>
        <v>2.0850590477628301E+17</v>
      </c>
      <c r="F89">
        <f t="shared" si="22"/>
        <v>6.3340663909912109E-2</v>
      </c>
      <c r="G89">
        <f t="shared" si="23"/>
        <v>0</v>
      </c>
      <c r="H89">
        <f t="shared" si="24"/>
        <v>14418057673</v>
      </c>
      <c r="I89">
        <f t="shared" si="25"/>
        <v>456624468</v>
      </c>
      <c r="J89" s="11" t="s">
        <v>606</v>
      </c>
      <c r="K89" s="3" t="s">
        <v>728</v>
      </c>
      <c r="L89">
        <v>1</v>
      </c>
      <c r="M89">
        <f t="shared" si="26"/>
        <v>3</v>
      </c>
      <c r="N89">
        <f t="shared" si="27"/>
        <v>4</v>
      </c>
    </row>
    <row r="90" spans="1:14" x14ac:dyDescent="0.55000000000000004">
      <c r="A90">
        <v>199</v>
      </c>
      <c r="B90" s="9">
        <v>81739681</v>
      </c>
      <c r="C90" s="9">
        <f t="shared" si="19"/>
        <v>2</v>
      </c>
      <c r="D90">
        <f t="shared" si="20"/>
        <v>1.3295937147098499E+18</v>
      </c>
      <c r="E90">
        <f t="shared" si="21"/>
        <v>1.329593714382891E+18</v>
      </c>
      <c r="F90">
        <f t="shared" si="22"/>
        <v>0</v>
      </c>
      <c r="G90">
        <f t="shared" si="23"/>
        <v>0.85822367668151855</v>
      </c>
      <c r="H90">
        <f t="shared" si="24"/>
        <v>16266196520</v>
      </c>
      <c r="I90">
        <f t="shared" si="25"/>
        <v>1153080099</v>
      </c>
      <c r="J90" s="11" t="s">
        <v>534</v>
      </c>
      <c r="K90" s="4" t="s">
        <v>640</v>
      </c>
      <c r="L90">
        <f t="shared" si="28"/>
        <v>0</v>
      </c>
      <c r="M90">
        <f t="shared" si="26"/>
        <v>0</v>
      </c>
      <c r="N90">
        <f t="shared" si="27"/>
        <v>0</v>
      </c>
    </row>
    <row r="91" spans="1:14" x14ac:dyDescent="0.55000000000000004">
      <c r="A91">
        <v>863</v>
      </c>
      <c r="B91" s="2">
        <v>21464689</v>
      </c>
      <c r="C91" s="2">
        <f t="shared" si="19"/>
        <v>2</v>
      </c>
      <c r="D91">
        <f t="shared" si="20"/>
        <v>3.9761247018990963E+17</v>
      </c>
      <c r="E91">
        <f t="shared" si="21"/>
        <v>3.9761247010405082E+17</v>
      </c>
      <c r="F91">
        <f t="shared" si="22"/>
        <v>0</v>
      </c>
      <c r="G91">
        <f t="shared" si="23"/>
        <v>0.93191921710968018</v>
      </c>
      <c r="H91">
        <f t="shared" si="24"/>
        <v>18524026608</v>
      </c>
      <c r="I91">
        <f t="shared" si="25"/>
        <v>630565199</v>
      </c>
      <c r="J91" s="10" t="s">
        <v>597</v>
      </c>
      <c r="K91" s="3" t="s">
        <v>718</v>
      </c>
      <c r="L91">
        <f t="shared" si="28"/>
        <v>0</v>
      </c>
      <c r="M91">
        <v>0</v>
      </c>
      <c r="N91">
        <f t="shared" si="27"/>
        <v>0</v>
      </c>
    </row>
    <row r="92" spans="1:14" x14ac:dyDescent="0.55000000000000004">
      <c r="A92">
        <v>367</v>
      </c>
      <c r="B92" s="2">
        <v>51825601</v>
      </c>
      <c r="C92" s="2">
        <f t="shared" si="19"/>
        <v>2</v>
      </c>
      <c r="D92">
        <f t="shared" si="20"/>
        <v>9.8572270138076198E+17</v>
      </c>
      <c r="E92">
        <f t="shared" si="21"/>
        <v>9.8572270117345958E+17</v>
      </c>
      <c r="F92">
        <f t="shared" si="22"/>
        <v>0</v>
      </c>
      <c r="G92">
        <f t="shared" si="23"/>
        <v>0.89560091495513916</v>
      </c>
      <c r="H92">
        <f t="shared" si="24"/>
        <v>19019995568</v>
      </c>
      <c r="I92">
        <f t="shared" si="25"/>
        <v>992835687</v>
      </c>
      <c r="J92" s="10" t="s">
        <v>555</v>
      </c>
      <c r="K92" s="4" t="s">
        <v>665</v>
      </c>
      <c r="L92">
        <v>0</v>
      </c>
      <c r="M92">
        <f t="shared" si="26"/>
        <v>0</v>
      </c>
      <c r="N92">
        <f t="shared" si="27"/>
        <v>0</v>
      </c>
    </row>
    <row r="93" spans="1:14" x14ac:dyDescent="0.55000000000000004">
      <c r="A93">
        <v>149</v>
      </c>
      <c r="B93" s="2">
        <v>173166050</v>
      </c>
      <c r="C93" s="2">
        <f t="shared" si="19"/>
        <v>-2</v>
      </c>
      <c r="D93">
        <f t="shared" si="20"/>
        <v>4.4679856503641047E+18</v>
      </c>
      <c r="E93">
        <f t="shared" si="21"/>
        <v>4.4679856496714404E+18</v>
      </c>
      <c r="F93">
        <f t="shared" si="22"/>
        <v>0.16384649276733398</v>
      </c>
      <c r="G93">
        <f t="shared" si="23"/>
        <v>0</v>
      </c>
      <c r="H93">
        <f t="shared" si="24"/>
        <v>25801741449</v>
      </c>
      <c r="I93">
        <f t="shared" si="25"/>
        <v>2113761020</v>
      </c>
      <c r="J93" s="10" t="s">
        <v>525</v>
      </c>
      <c r="K93" s="3" t="s">
        <v>630</v>
      </c>
      <c r="L93">
        <f t="shared" si="28"/>
        <v>1</v>
      </c>
      <c r="M93">
        <f t="shared" si="26"/>
        <v>3</v>
      </c>
      <c r="N93">
        <f t="shared" si="27"/>
        <v>4</v>
      </c>
    </row>
    <row r="94" spans="1:14" x14ac:dyDescent="0.55000000000000004">
      <c r="A94">
        <v>787</v>
      </c>
      <c r="B94" s="2">
        <v>43996689</v>
      </c>
      <c r="C94" s="2">
        <f t="shared" si="19"/>
        <v>-2</v>
      </c>
      <c r="D94">
        <f t="shared" si="20"/>
        <v>1.5234027020996549E+18</v>
      </c>
      <c r="E94">
        <f t="shared" si="21"/>
        <v>1.523402701923668E+18</v>
      </c>
      <c r="F94">
        <f t="shared" si="22"/>
        <v>7.1292400360107422E-2</v>
      </c>
      <c r="G94">
        <f t="shared" si="23"/>
        <v>0</v>
      </c>
      <c r="H94">
        <f t="shared" si="24"/>
        <v>34625394242</v>
      </c>
      <c r="I94">
        <f t="shared" si="25"/>
        <v>1234262007</v>
      </c>
      <c r="J94" s="10" t="s">
        <v>591</v>
      </c>
      <c r="K94" s="3" t="s">
        <v>711</v>
      </c>
      <c r="L94">
        <f t="shared" si="28"/>
        <v>0</v>
      </c>
      <c r="M94">
        <f t="shared" si="26"/>
        <v>0</v>
      </c>
      <c r="N94">
        <f t="shared" si="27"/>
        <v>0</v>
      </c>
    </row>
    <row r="95" spans="1:14" x14ac:dyDescent="0.55000000000000004">
      <c r="A95">
        <v>523</v>
      </c>
      <c r="B95" s="2">
        <v>156425049</v>
      </c>
      <c r="C95" s="2">
        <f t="shared" si="19"/>
        <v>-2</v>
      </c>
      <c r="D95">
        <f t="shared" si="20"/>
        <v>1.2797180284596056E+19</v>
      </c>
      <c r="E95">
        <f t="shared" si="21"/>
        <v>1.2797180283970355E+19</v>
      </c>
      <c r="F95">
        <f t="shared" si="22"/>
        <v>8.7453842163085938E-2</v>
      </c>
      <c r="G95">
        <f t="shared" si="23"/>
        <v>0</v>
      </c>
      <c r="H95">
        <f t="shared" si="24"/>
        <v>81810300626</v>
      </c>
      <c r="I95">
        <f t="shared" si="25"/>
        <v>3577314675</v>
      </c>
      <c r="J95" s="10" t="s">
        <v>569</v>
      </c>
      <c r="K95" s="4" t="s">
        <v>685</v>
      </c>
      <c r="L95">
        <f t="shared" si="28"/>
        <v>0</v>
      </c>
      <c r="M95">
        <f t="shared" si="26"/>
        <v>0</v>
      </c>
      <c r="N95">
        <f t="shared" si="27"/>
        <v>0</v>
      </c>
    </row>
    <row r="96" spans="1:14" x14ac:dyDescent="0.55000000000000004">
      <c r="A96">
        <v>491</v>
      </c>
      <c r="B96" s="2">
        <v>190688481</v>
      </c>
      <c r="C96" s="2">
        <f t="shared" si="19"/>
        <v>-2</v>
      </c>
      <c r="D96">
        <f t="shared" si="20"/>
        <v>1.785378952235027E+19</v>
      </c>
      <c r="E96">
        <f t="shared" si="21"/>
        <v>1.7853789521587517E+19</v>
      </c>
      <c r="F96">
        <f t="shared" si="22"/>
        <v>9.0258598327636719E-2</v>
      </c>
      <c r="G96">
        <f t="shared" si="23"/>
        <v>0</v>
      </c>
      <c r="H96">
        <f t="shared" si="24"/>
        <v>93628044170</v>
      </c>
      <c r="I96">
        <f t="shared" si="25"/>
        <v>4225374483</v>
      </c>
      <c r="J96" s="10" t="s">
        <v>566</v>
      </c>
      <c r="K96" s="3" t="s">
        <v>680</v>
      </c>
      <c r="L96">
        <f t="shared" si="28"/>
        <v>0</v>
      </c>
      <c r="M96">
        <v>0</v>
      </c>
      <c r="N96">
        <f t="shared" si="27"/>
        <v>0</v>
      </c>
    </row>
    <row r="97" spans="1:14" x14ac:dyDescent="0.55000000000000004">
      <c r="A97">
        <v>271</v>
      </c>
      <c r="B97" s="2">
        <v>427951969</v>
      </c>
      <c r="C97" s="2">
        <f t="shared" si="19"/>
        <v>2</v>
      </c>
      <c r="D97">
        <f t="shared" si="20"/>
        <v>4.9631722586790658E+19</v>
      </c>
      <c r="E97">
        <f t="shared" si="21"/>
        <v>4.963172258507885E+19</v>
      </c>
      <c r="F97">
        <f t="shared" si="22"/>
        <v>0</v>
      </c>
      <c r="G97">
        <f t="shared" si="23"/>
        <v>0.87850856781005859</v>
      </c>
      <c r="H97">
        <f t="shared" si="24"/>
        <v>115974983600</v>
      </c>
      <c r="I97">
        <f t="shared" si="25"/>
        <v>7044978537</v>
      </c>
      <c r="J97" s="11" t="s">
        <v>542</v>
      </c>
      <c r="K97" s="3" t="s">
        <v>651</v>
      </c>
      <c r="L97">
        <f t="shared" si="28"/>
        <v>0</v>
      </c>
      <c r="M97">
        <v>0</v>
      </c>
      <c r="N97">
        <f t="shared" si="27"/>
        <v>0</v>
      </c>
    </row>
    <row r="98" spans="1:14" x14ac:dyDescent="0.55000000000000004">
      <c r="A98">
        <v>877</v>
      </c>
      <c r="B98" s="2">
        <v>132812402</v>
      </c>
      <c r="C98" s="2">
        <f t="shared" ref="C98:C129" si="29">IF(G98=0,-2,2)</f>
        <v>-2</v>
      </c>
      <c r="D98">
        <f t="shared" ref="D98:D129" si="30">B98*(B98*A98+2)</f>
        <v>1.5469520627899048E+19</v>
      </c>
      <c r="E98">
        <f t="shared" ref="E98:E129" si="31">B98*(B98*A98-2)</f>
        <v>1.5469520627367799E+19</v>
      </c>
      <c r="F98">
        <f t="shared" ref="F98:F129" si="32">SQRT(D98)-_xlfn.FLOOR.MATH(SQRT(D98))</f>
        <v>6.7535400390625E-2</v>
      </c>
      <c r="G98">
        <f t="shared" ref="G98:G129" si="33">SQRT(E98)-_xlfn.FLOOR.MATH(SQRT(E98))</f>
        <v>0</v>
      </c>
      <c r="H98">
        <f t="shared" ref="H98:H129" si="34">IF(G98=0,B98*A98-1,B98*A98+1)</f>
        <v>116476476553</v>
      </c>
      <c r="I98">
        <f t="shared" ref="I98:I129" si="35">SQRT((H98*H98-1)/A98)</f>
        <v>3933131148</v>
      </c>
      <c r="J98" s="10" t="s">
        <v>598</v>
      </c>
      <c r="K98" s="3" t="s">
        <v>719</v>
      </c>
      <c r="L98">
        <v>1</v>
      </c>
      <c r="M98">
        <f t="shared" si="26"/>
        <v>3</v>
      </c>
      <c r="N98">
        <f t="shared" si="27"/>
        <v>4</v>
      </c>
    </row>
    <row r="99" spans="1:14" x14ac:dyDescent="0.55000000000000004">
      <c r="A99">
        <v>607</v>
      </c>
      <c r="B99" s="2">
        <v>270306481</v>
      </c>
      <c r="C99" s="2">
        <f t="shared" si="29"/>
        <v>2</v>
      </c>
      <c r="D99">
        <f t="shared" si="30"/>
        <v>4.435081535859685E+19</v>
      </c>
      <c r="E99">
        <f t="shared" si="31"/>
        <v>4.4350815357515629E+19</v>
      </c>
      <c r="F99">
        <f t="shared" si="32"/>
        <v>0</v>
      </c>
      <c r="G99">
        <f t="shared" si="33"/>
        <v>0.91882228851318359</v>
      </c>
      <c r="H99">
        <f t="shared" si="34"/>
        <v>164076033968</v>
      </c>
      <c r="I99">
        <f t="shared" si="35"/>
        <v>6659640783</v>
      </c>
      <c r="J99" s="10" t="s">
        <v>576</v>
      </c>
      <c r="K99" s="3" t="s">
        <v>694</v>
      </c>
      <c r="L99">
        <f t="shared" si="28"/>
        <v>0</v>
      </c>
      <c r="M99">
        <f t="shared" si="26"/>
        <v>0</v>
      </c>
      <c r="N99">
        <f t="shared" si="27"/>
        <v>0</v>
      </c>
    </row>
    <row r="100" spans="1:14" x14ac:dyDescent="0.55000000000000004">
      <c r="A100">
        <v>317</v>
      </c>
      <c r="B100" s="2">
        <v>784476050</v>
      </c>
      <c r="C100" s="2">
        <f t="shared" si="29"/>
        <v>-2</v>
      </c>
      <c r="D100">
        <f t="shared" si="30"/>
        <v>1.9508264735005095E+20</v>
      </c>
      <c r="E100">
        <f t="shared" si="31"/>
        <v>1.9508264734691305E+20</v>
      </c>
      <c r="F100">
        <f t="shared" si="32"/>
        <v>0.11233139038085938</v>
      </c>
      <c r="G100">
        <f t="shared" si="33"/>
        <v>0</v>
      </c>
      <c r="H100">
        <f t="shared" si="34"/>
        <v>248678907849</v>
      </c>
      <c r="I100">
        <f t="shared" si="35"/>
        <v>13967198980</v>
      </c>
      <c r="J100" s="10" t="s">
        <v>549</v>
      </c>
      <c r="K100" s="3" t="s">
        <v>658</v>
      </c>
      <c r="L100">
        <v>1</v>
      </c>
      <c r="M100">
        <f t="shared" si="26"/>
        <v>5</v>
      </c>
      <c r="N100">
        <f t="shared" si="27"/>
        <v>6</v>
      </c>
    </row>
    <row r="101" spans="1:14" x14ac:dyDescent="0.55000000000000004">
      <c r="A101">
        <v>211</v>
      </c>
      <c r="B101" s="2">
        <v>1319215041</v>
      </c>
      <c r="C101" s="2">
        <f t="shared" si="29"/>
        <v>-2</v>
      </c>
      <c r="D101">
        <f t="shared" si="30"/>
        <v>3.6720927645117173E+20</v>
      </c>
      <c r="E101">
        <f t="shared" si="31"/>
        <v>3.6720927644589484E+20</v>
      </c>
      <c r="F101">
        <f t="shared" si="32"/>
        <v>0.13768768310546875</v>
      </c>
      <c r="G101">
        <f t="shared" si="33"/>
        <v>0</v>
      </c>
      <c r="H101">
        <f t="shared" si="34"/>
        <v>278354373650</v>
      </c>
      <c r="I101">
        <f t="shared" si="35"/>
        <v>19162705353</v>
      </c>
      <c r="J101" s="10" t="s">
        <v>535</v>
      </c>
      <c r="K101" s="4" t="s">
        <v>641</v>
      </c>
      <c r="L101">
        <v>0</v>
      </c>
      <c r="M101">
        <f t="shared" si="26"/>
        <v>0</v>
      </c>
      <c r="N101">
        <f t="shared" si="27"/>
        <v>0</v>
      </c>
    </row>
    <row r="102" spans="1:14" x14ac:dyDescent="0.55000000000000004">
      <c r="A102">
        <v>719</v>
      </c>
      <c r="B102" s="2">
        <v>561168721</v>
      </c>
      <c r="C102" s="2">
        <f t="shared" si="29"/>
        <v>2</v>
      </c>
      <c r="D102">
        <f t="shared" si="30"/>
        <v>2.2642052973641217E+20</v>
      </c>
      <c r="E102">
        <f t="shared" si="31"/>
        <v>2.2642052973416749E+20</v>
      </c>
      <c r="F102">
        <f t="shared" si="32"/>
        <v>0</v>
      </c>
      <c r="G102">
        <f t="shared" si="33"/>
        <v>0.92541313171386719</v>
      </c>
      <c r="H102">
        <f t="shared" si="34"/>
        <v>403480310400</v>
      </c>
      <c r="I102">
        <f t="shared" si="35"/>
        <v>15047276489</v>
      </c>
      <c r="J102" s="11" t="s">
        <v>585</v>
      </c>
      <c r="K102" s="3" t="s">
        <v>705</v>
      </c>
      <c r="L102">
        <v>0</v>
      </c>
      <c r="M102">
        <f t="shared" si="26"/>
        <v>0</v>
      </c>
      <c r="N102">
        <f t="shared" si="27"/>
        <v>0</v>
      </c>
    </row>
    <row r="103" spans="1:14" x14ac:dyDescent="0.55000000000000004">
      <c r="A103">
        <v>593</v>
      </c>
      <c r="B103" s="2">
        <v>1216724450</v>
      </c>
      <c r="C103" s="2">
        <f t="shared" si="29"/>
        <v>-2</v>
      </c>
      <c r="D103">
        <f t="shared" si="30"/>
        <v>8.7788810362852029E+20</v>
      </c>
      <c r="E103">
        <f t="shared" si="31"/>
        <v>8.7788810362365346E+20</v>
      </c>
      <c r="F103">
        <f t="shared" si="32"/>
        <v>8.213043212890625E-2</v>
      </c>
      <c r="G103">
        <f t="shared" si="33"/>
        <v>0</v>
      </c>
      <c r="H103">
        <f t="shared" si="34"/>
        <v>721517598849</v>
      </c>
      <c r="I103">
        <f t="shared" si="35"/>
        <v>29629176560</v>
      </c>
      <c r="J103" s="10" t="s">
        <v>574</v>
      </c>
      <c r="K103" s="3" t="s">
        <v>692</v>
      </c>
      <c r="L103">
        <f t="shared" si="28"/>
        <v>1</v>
      </c>
      <c r="M103">
        <f t="shared" si="26"/>
        <v>7</v>
      </c>
      <c r="N103">
        <f t="shared" si="27"/>
        <v>8</v>
      </c>
    </row>
    <row r="104" spans="1:14" x14ac:dyDescent="0.55000000000000004">
      <c r="A104">
        <v>643</v>
      </c>
      <c r="B104" s="2">
        <v>3093250689</v>
      </c>
      <c r="C104" s="2">
        <f t="shared" si="29"/>
        <v>-2</v>
      </c>
      <c r="D104">
        <f t="shared" si="30"/>
        <v>6.1523524874805277E+21</v>
      </c>
      <c r="E104">
        <f t="shared" si="31"/>
        <v>6.1523524874681545E+21</v>
      </c>
      <c r="F104">
        <f t="shared" si="32"/>
        <v>7.88726806640625E-2</v>
      </c>
      <c r="G104">
        <f t="shared" si="33"/>
        <v>0</v>
      </c>
      <c r="H104">
        <f t="shared" si="34"/>
        <v>1988960193026</v>
      </c>
      <c r="I104">
        <f t="shared" si="35"/>
        <v>78436933185</v>
      </c>
      <c r="J104" s="10" t="s">
        <v>579</v>
      </c>
      <c r="K104" s="4" t="s">
        <v>697</v>
      </c>
      <c r="L104">
        <f t="shared" si="28"/>
        <v>0</v>
      </c>
      <c r="M104">
        <f t="shared" si="26"/>
        <v>0</v>
      </c>
      <c r="N104">
        <f t="shared" si="27"/>
        <v>0</v>
      </c>
    </row>
    <row r="105" spans="1:14" x14ac:dyDescent="0.55000000000000004">
      <c r="A105">
        <v>281</v>
      </c>
      <c r="B105" s="2">
        <v>8050536050</v>
      </c>
      <c r="C105" s="2">
        <f t="shared" si="29"/>
        <v>-2</v>
      </c>
      <c r="D105">
        <f t="shared" si="30"/>
        <v>1.821192772456634E+22</v>
      </c>
      <c r="E105">
        <f t="shared" si="31"/>
        <v>1.8211927724534138E+22</v>
      </c>
      <c r="F105">
        <f t="shared" si="32"/>
        <v>0.1193084716796875</v>
      </c>
      <c r="G105">
        <f t="shared" si="33"/>
        <v>0</v>
      </c>
      <c r="H105">
        <f t="shared" si="34"/>
        <v>2262200630049</v>
      </c>
      <c r="I105">
        <f t="shared" si="35"/>
        <v>134951575480</v>
      </c>
      <c r="J105" s="10" t="s">
        <v>543</v>
      </c>
      <c r="K105" s="3" t="s">
        <v>652</v>
      </c>
      <c r="L105">
        <v>1</v>
      </c>
      <c r="M105">
        <f t="shared" si="26"/>
        <v>7</v>
      </c>
      <c r="N105">
        <f t="shared" si="27"/>
        <v>8</v>
      </c>
    </row>
    <row r="106" spans="1:14" x14ac:dyDescent="0.55000000000000004">
      <c r="A106">
        <v>773</v>
      </c>
      <c r="B106" s="2">
        <v>4666746050</v>
      </c>
      <c r="C106" s="2">
        <f t="shared" si="29"/>
        <v>-2</v>
      </c>
      <c r="D106">
        <f t="shared" si="30"/>
        <v>1.6834794951391668E+22</v>
      </c>
      <c r="E106">
        <f t="shared" si="31"/>
        <v>1.6834794951373002E+22</v>
      </c>
      <c r="F106">
        <f t="shared" si="32"/>
        <v>7.1929931640625E-2</v>
      </c>
      <c r="G106">
        <f t="shared" si="33"/>
        <v>0</v>
      </c>
      <c r="H106">
        <f t="shared" si="34"/>
        <v>3607394696649</v>
      </c>
      <c r="I106">
        <f t="shared" si="35"/>
        <v>129748968980</v>
      </c>
      <c r="J106" s="10" t="s">
        <v>590</v>
      </c>
      <c r="K106" s="3" t="s">
        <v>710</v>
      </c>
      <c r="L106">
        <f t="shared" si="28"/>
        <v>1</v>
      </c>
      <c r="M106">
        <f t="shared" si="26"/>
        <v>3</v>
      </c>
      <c r="N106">
        <f t="shared" si="27"/>
        <v>4</v>
      </c>
    </row>
    <row r="107" spans="1:14" x14ac:dyDescent="0.55000000000000004">
      <c r="A107">
        <v>757</v>
      </c>
      <c r="B107" s="2">
        <v>4953906722</v>
      </c>
      <c r="C107" s="2">
        <f t="shared" si="29"/>
        <v>-2</v>
      </c>
      <c r="D107">
        <f t="shared" si="30"/>
        <v>1.8577682200389434E+22</v>
      </c>
      <c r="E107">
        <f t="shared" si="31"/>
        <v>1.8577682200369618E+22</v>
      </c>
      <c r="F107">
        <f t="shared" si="32"/>
        <v>7.269287109375E-2</v>
      </c>
      <c r="G107">
        <f t="shared" si="33"/>
        <v>0</v>
      </c>
      <c r="H107">
        <f t="shared" si="34"/>
        <v>3750107388553</v>
      </c>
      <c r="I107">
        <f t="shared" si="35"/>
        <v>136299971388</v>
      </c>
      <c r="J107" s="11" t="s">
        <v>588</v>
      </c>
      <c r="K107" s="3" t="s">
        <v>708</v>
      </c>
      <c r="L107">
        <f t="shared" si="28"/>
        <v>1</v>
      </c>
      <c r="M107">
        <f t="shared" si="26"/>
        <v>5</v>
      </c>
      <c r="N107">
        <f t="shared" si="27"/>
        <v>6</v>
      </c>
    </row>
    <row r="108" spans="1:14" x14ac:dyDescent="0.55000000000000004">
      <c r="A108">
        <v>193</v>
      </c>
      <c r="B108" s="2">
        <v>32250380450</v>
      </c>
      <c r="C108" s="2">
        <f t="shared" si="29"/>
        <v>-2</v>
      </c>
      <c r="D108">
        <f t="shared" si="30"/>
        <v>2.0073679855982474E+23</v>
      </c>
      <c r="E108">
        <f t="shared" si="31"/>
        <v>2.0073679855969576E+23</v>
      </c>
      <c r="F108">
        <f t="shared" si="32"/>
        <v>0.14398193359375</v>
      </c>
      <c r="G108">
        <f t="shared" si="33"/>
        <v>0</v>
      </c>
      <c r="H108">
        <f t="shared" si="34"/>
        <v>6224323426849</v>
      </c>
      <c r="I108">
        <f t="shared" si="35"/>
        <v>448036604040</v>
      </c>
      <c r="J108" s="10" t="s">
        <v>533</v>
      </c>
      <c r="K108" s="3" t="s">
        <v>638</v>
      </c>
      <c r="L108">
        <v>1</v>
      </c>
      <c r="M108">
        <f t="shared" si="26"/>
        <v>5</v>
      </c>
      <c r="N108">
        <f t="shared" si="27"/>
        <v>6</v>
      </c>
    </row>
    <row r="109" spans="1:14" x14ac:dyDescent="0.55000000000000004">
      <c r="A109">
        <v>971</v>
      </c>
      <c r="B109" s="2">
        <v>12852530161</v>
      </c>
      <c r="C109" s="2">
        <f t="shared" si="29"/>
        <v>-2</v>
      </c>
      <c r="D109">
        <f t="shared" si="30"/>
        <v>1.6039709312479735E+23</v>
      </c>
      <c r="E109">
        <f t="shared" si="31"/>
        <v>1.6039709312474595E+23</v>
      </c>
      <c r="F109">
        <f t="shared" si="32"/>
        <v>6.414794921875E-2</v>
      </c>
      <c r="G109">
        <f t="shared" si="33"/>
        <v>0</v>
      </c>
      <c r="H109">
        <f t="shared" si="34"/>
        <v>12479806786330</v>
      </c>
      <c r="I109">
        <f t="shared" si="35"/>
        <v>400496058813</v>
      </c>
      <c r="J109" s="10" t="s">
        <v>604</v>
      </c>
      <c r="K109" s="4" t="s">
        <v>726</v>
      </c>
      <c r="L109">
        <f t="shared" si="28"/>
        <v>0</v>
      </c>
      <c r="M109">
        <f t="shared" si="26"/>
        <v>0</v>
      </c>
      <c r="N109">
        <f t="shared" si="27"/>
        <v>0</v>
      </c>
    </row>
    <row r="110" spans="1:14" x14ac:dyDescent="0.55000000000000004">
      <c r="A110">
        <v>599</v>
      </c>
      <c r="B110" s="2">
        <v>41212654081</v>
      </c>
      <c r="C110" s="2">
        <f t="shared" si="29"/>
        <v>2</v>
      </c>
      <c r="D110">
        <f t="shared" si="30"/>
        <v>1.0173912309837819E+24</v>
      </c>
      <c r="E110">
        <f t="shared" si="31"/>
        <v>1.0173912309836169E+24</v>
      </c>
      <c r="F110">
        <f t="shared" si="32"/>
        <v>0</v>
      </c>
      <c r="G110">
        <f t="shared" si="33"/>
        <v>0.918212890625</v>
      </c>
      <c r="H110">
        <f t="shared" si="34"/>
        <v>24686379794520</v>
      </c>
      <c r="I110">
        <f t="shared" si="35"/>
        <v>1008658133851</v>
      </c>
      <c r="J110" s="10" t="s">
        <v>575</v>
      </c>
      <c r="K110" s="3" t="s">
        <v>693</v>
      </c>
      <c r="L110">
        <v>0</v>
      </c>
      <c r="M110">
        <v>0</v>
      </c>
      <c r="N110">
        <f t="shared" si="27"/>
        <v>0</v>
      </c>
    </row>
    <row r="111" spans="1:14" x14ac:dyDescent="0.55000000000000004">
      <c r="A111">
        <v>157</v>
      </c>
      <c r="B111" s="2">
        <v>297444132050</v>
      </c>
      <c r="C111" s="2">
        <f t="shared" si="29"/>
        <v>-2</v>
      </c>
      <c r="D111">
        <f t="shared" si="30"/>
        <v>1.3890262835484116E+25</v>
      </c>
      <c r="E111">
        <f t="shared" si="31"/>
        <v>1.3890262835482927E+25</v>
      </c>
      <c r="F111">
        <f t="shared" si="32"/>
        <v>0.15966796875</v>
      </c>
      <c r="G111">
        <f t="shared" si="33"/>
        <v>0</v>
      </c>
      <c r="H111">
        <f t="shared" si="34"/>
        <v>46698728731849</v>
      </c>
      <c r="I111">
        <f t="shared" si="35"/>
        <v>3726964292220</v>
      </c>
      <c r="J111" s="10" t="s">
        <v>527</v>
      </c>
      <c r="K111" s="3" t="s">
        <v>632</v>
      </c>
      <c r="L111">
        <f t="shared" si="28"/>
        <v>1</v>
      </c>
      <c r="M111">
        <f t="shared" si="26"/>
        <v>3</v>
      </c>
      <c r="N111">
        <f t="shared" si="27"/>
        <v>4</v>
      </c>
    </row>
    <row r="112" spans="1:14" x14ac:dyDescent="0.55000000000000004">
      <c r="A112">
        <v>487</v>
      </c>
      <c r="B112" s="2">
        <v>106583313841</v>
      </c>
      <c r="C112" s="2">
        <f t="shared" si="29"/>
        <v>2</v>
      </c>
      <c r="D112">
        <f t="shared" si="30"/>
        <v>5.5323213584034859E+24</v>
      </c>
      <c r="E112">
        <f t="shared" si="31"/>
        <v>5.5323213584030597E+24</v>
      </c>
      <c r="F112">
        <f t="shared" si="32"/>
        <v>0</v>
      </c>
      <c r="G112">
        <f t="shared" si="33"/>
        <v>0.9091796875</v>
      </c>
      <c r="H112">
        <f t="shared" si="34"/>
        <v>51906073840568</v>
      </c>
      <c r="I112">
        <f t="shared" si="35"/>
        <v>2352088722477</v>
      </c>
      <c r="J112" s="11" t="s">
        <v>565</v>
      </c>
      <c r="K112" s="3" t="s">
        <v>679</v>
      </c>
      <c r="L112">
        <v>0</v>
      </c>
      <c r="M112">
        <f t="shared" si="26"/>
        <v>0</v>
      </c>
      <c r="N112">
        <f t="shared" si="27"/>
        <v>0</v>
      </c>
    </row>
    <row r="113" spans="1:14" x14ac:dyDescent="0.55000000000000004">
      <c r="A113">
        <v>857</v>
      </c>
      <c r="B113" s="2">
        <v>153818311250</v>
      </c>
      <c r="C113" s="2">
        <f t="shared" si="29"/>
        <v>-2</v>
      </c>
      <c r="D113">
        <f t="shared" si="30"/>
        <v>2.0276682454562517E+25</v>
      </c>
      <c r="E113">
        <f t="shared" si="31"/>
        <v>2.0276682454561899E+25</v>
      </c>
      <c r="F113">
        <f t="shared" si="32"/>
        <v>6.8359375E-2</v>
      </c>
      <c r="G113">
        <f t="shared" si="33"/>
        <v>0</v>
      </c>
      <c r="H113">
        <f t="shared" si="34"/>
        <v>131822292741249</v>
      </c>
      <c r="I113">
        <f t="shared" si="35"/>
        <v>4502963741200</v>
      </c>
      <c r="J113" s="10" t="s">
        <v>596</v>
      </c>
      <c r="K113" s="3" t="s">
        <v>717</v>
      </c>
      <c r="L113">
        <f t="shared" si="28"/>
        <v>1</v>
      </c>
      <c r="M113">
        <f t="shared" si="26"/>
        <v>9</v>
      </c>
      <c r="N113">
        <f t="shared" si="27"/>
        <v>10</v>
      </c>
    </row>
    <row r="114" spans="1:14" x14ac:dyDescent="0.55000000000000004">
      <c r="A114">
        <v>109</v>
      </c>
      <c r="B114" s="2">
        <v>1450189651250</v>
      </c>
      <c r="C114" s="2">
        <f t="shared" si="29"/>
        <v>-2</v>
      </c>
      <c r="D114">
        <f t="shared" si="30"/>
        <v>2.2923245268059592E+26</v>
      </c>
      <c r="E114">
        <f t="shared" si="31"/>
        <v>2.2923245268059015E+26</v>
      </c>
      <c r="F114">
        <f t="shared" si="32"/>
        <v>0.19140625</v>
      </c>
      <c r="G114">
        <f t="shared" si="33"/>
        <v>0</v>
      </c>
      <c r="H114">
        <f t="shared" si="34"/>
        <v>158070671986249</v>
      </c>
      <c r="I114">
        <f t="shared" si="35"/>
        <v>15140424455100</v>
      </c>
      <c r="J114" s="10" t="s">
        <v>520</v>
      </c>
      <c r="K114" s="3" t="s">
        <v>624</v>
      </c>
      <c r="L114">
        <f t="shared" si="28"/>
        <v>1</v>
      </c>
      <c r="M114">
        <f t="shared" si="26"/>
        <v>5</v>
      </c>
      <c r="N114">
        <f t="shared" si="27"/>
        <v>6</v>
      </c>
    </row>
    <row r="115" spans="1:14" x14ac:dyDescent="0.55000000000000004">
      <c r="A115">
        <v>547</v>
      </c>
      <c r="B115" s="2">
        <v>292829252769</v>
      </c>
      <c r="C115" s="2">
        <f t="shared" si="29"/>
        <v>-2</v>
      </c>
      <c r="D115">
        <f t="shared" si="30"/>
        <v>4.6904687288656827E+25</v>
      </c>
      <c r="E115">
        <f t="shared" si="31"/>
        <v>4.690468728865565E+25</v>
      </c>
      <c r="F115">
        <f t="shared" si="32"/>
        <v>8.59375E-2</v>
      </c>
      <c r="G115">
        <f t="shared" si="33"/>
        <v>0</v>
      </c>
      <c r="H115">
        <f t="shared" si="34"/>
        <v>160177601264642</v>
      </c>
      <c r="I115">
        <f t="shared" si="35"/>
        <v>6848699678673</v>
      </c>
      <c r="J115" s="10" t="s">
        <v>570</v>
      </c>
      <c r="K115" s="4" t="s">
        <v>686</v>
      </c>
      <c r="L115">
        <f t="shared" si="28"/>
        <v>0</v>
      </c>
      <c r="M115">
        <v>0</v>
      </c>
      <c r="N115">
        <f t="shared" si="27"/>
        <v>0</v>
      </c>
    </row>
    <row r="116" spans="1:14" x14ac:dyDescent="0.55000000000000004">
      <c r="A116">
        <v>463</v>
      </c>
      <c r="B116" s="2">
        <v>534584709409</v>
      </c>
      <c r="C116" s="2">
        <f t="shared" si="29"/>
        <v>2</v>
      </c>
      <c r="D116">
        <f t="shared" si="30"/>
        <v>1.3231651574019906E+26</v>
      </c>
      <c r="E116">
        <f t="shared" si="31"/>
        <v>1.3231651574019693E+26</v>
      </c>
      <c r="F116">
        <f t="shared" si="32"/>
        <v>0</v>
      </c>
      <c r="G116">
        <f t="shared" si="33"/>
        <v>0.90625</v>
      </c>
      <c r="H116">
        <f t="shared" si="34"/>
        <v>247512720456368</v>
      </c>
      <c r="I116">
        <f t="shared" si="35"/>
        <v>11502891625161</v>
      </c>
      <c r="J116" s="10" t="s">
        <v>562</v>
      </c>
      <c r="K116" s="3" t="s">
        <v>676</v>
      </c>
      <c r="L116">
        <f t="shared" si="28"/>
        <v>0</v>
      </c>
      <c r="M116">
        <v>0</v>
      </c>
      <c r="N116">
        <f t="shared" si="27"/>
        <v>0</v>
      </c>
    </row>
    <row r="117" spans="1:14" x14ac:dyDescent="0.55000000000000004">
      <c r="A117">
        <v>911</v>
      </c>
      <c r="B117" s="2">
        <v>408158710129</v>
      </c>
      <c r="C117" s="2">
        <f t="shared" si="29"/>
        <v>2</v>
      </c>
      <c r="D117">
        <f t="shared" si="30"/>
        <v>1.5176670824794882E+26</v>
      </c>
      <c r="E117">
        <f t="shared" si="31"/>
        <v>1.5176670824794719E+26</v>
      </c>
      <c r="F117">
        <f t="shared" si="32"/>
        <v>0</v>
      </c>
      <c r="G117">
        <f t="shared" si="33"/>
        <v>0.93359375</v>
      </c>
      <c r="H117">
        <f t="shared" si="34"/>
        <v>371832584927520</v>
      </c>
      <c r="I117">
        <f t="shared" si="35"/>
        <v>12319363142953</v>
      </c>
      <c r="J117" s="10" t="s">
        <v>599</v>
      </c>
      <c r="K117" s="3" t="s">
        <v>721</v>
      </c>
      <c r="L117">
        <f t="shared" si="28"/>
        <v>0</v>
      </c>
      <c r="M117">
        <f t="shared" si="26"/>
        <v>0</v>
      </c>
      <c r="N117">
        <f t="shared" si="27"/>
        <v>0</v>
      </c>
    </row>
    <row r="118" spans="1:14" x14ac:dyDescent="0.55000000000000004">
      <c r="A118">
        <v>829</v>
      </c>
      <c r="B118" s="2">
        <v>578812682450</v>
      </c>
      <c r="C118" s="2">
        <f t="shared" si="29"/>
        <v>-2</v>
      </c>
      <c r="D118">
        <f t="shared" si="30"/>
        <v>2.7773499661155677E+26</v>
      </c>
      <c r="E118">
        <f t="shared" si="31"/>
        <v>2.7773499661155444E+26</v>
      </c>
      <c r="F118">
        <f t="shared" si="32"/>
        <v>7.03125E-2</v>
      </c>
      <c r="G118">
        <f t="shared" si="33"/>
        <v>0</v>
      </c>
      <c r="H118">
        <f t="shared" si="34"/>
        <v>479835713751049</v>
      </c>
      <c r="I118">
        <f t="shared" si="35"/>
        <v>16665383182260</v>
      </c>
      <c r="J118" s="10" t="s">
        <v>595</v>
      </c>
      <c r="K118" s="3" t="s">
        <v>715</v>
      </c>
      <c r="L118">
        <v>1</v>
      </c>
      <c r="M118">
        <f t="shared" si="26"/>
        <v>5</v>
      </c>
      <c r="N118">
        <f t="shared" si="27"/>
        <v>6</v>
      </c>
    </row>
    <row r="119" spans="1:14" x14ac:dyDescent="0.55000000000000004">
      <c r="A119">
        <v>709</v>
      </c>
      <c r="B119" s="2">
        <v>939044674178</v>
      </c>
      <c r="C119" s="2">
        <f t="shared" si="29"/>
        <v>-2</v>
      </c>
      <c r="D119">
        <f t="shared" si="30"/>
        <v>6.2519967417236678E+26</v>
      </c>
      <c r="E119">
        <f t="shared" si="31"/>
        <v>6.2519967417236306E+26</v>
      </c>
      <c r="F119">
        <f t="shared" si="32"/>
        <v>7.421875E-2</v>
      </c>
      <c r="G119">
        <f t="shared" si="33"/>
        <v>0</v>
      </c>
      <c r="H119">
        <f t="shared" si="34"/>
        <v>665782673992201</v>
      </c>
      <c r="I119">
        <f t="shared" si="35"/>
        <v>25003993164540</v>
      </c>
      <c r="J119" s="10" t="s">
        <v>584</v>
      </c>
      <c r="K119" s="3" t="s">
        <v>704</v>
      </c>
      <c r="L119">
        <v>1</v>
      </c>
      <c r="M119">
        <f t="shared" si="26"/>
        <v>3</v>
      </c>
      <c r="N119">
        <f t="shared" si="27"/>
        <v>4</v>
      </c>
    </row>
    <row r="120" spans="1:14" x14ac:dyDescent="0.55000000000000004">
      <c r="A120">
        <v>461</v>
      </c>
      <c r="B120" s="2">
        <v>2564754642482</v>
      </c>
      <c r="C120" s="2">
        <f t="shared" si="29"/>
        <v>-2</v>
      </c>
      <c r="D120">
        <f t="shared" si="30"/>
        <v>3.032442499397305E+27</v>
      </c>
      <c r="E120">
        <f t="shared" si="31"/>
        <v>3.0324424993972945E+27</v>
      </c>
      <c r="F120">
        <f t="shared" si="32"/>
        <v>9.375E-2</v>
      </c>
      <c r="G120">
        <f t="shared" si="33"/>
        <v>0</v>
      </c>
      <c r="H120">
        <f t="shared" si="34"/>
        <v>1182351890184201</v>
      </c>
      <c r="I120">
        <f t="shared" si="35"/>
        <v>55067617520620</v>
      </c>
      <c r="J120" s="10" t="s">
        <v>561</v>
      </c>
      <c r="K120" s="3" t="s">
        <v>675</v>
      </c>
      <c r="L120">
        <v>1</v>
      </c>
      <c r="M120">
        <f t="shared" si="26"/>
        <v>3</v>
      </c>
      <c r="N120">
        <f t="shared" si="27"/>
        <v>4</v>
      </c>
    </row>
    <row r="121" spans="1:14" x14ac:dyDescent="0.55000000000000004">
      <c r="A121">
        <v>797</v>
      </c>
      <c r="B121" s="2">
        <v>1532947970450</v>
      </c>
      <c r="C121" s="2">
        <f t="shared" si="29"/>
        <v>-2</v>
      </c>
      <c r="D121">
        <f t="shared" si="30"/>
        <v>1.8728937956451021E+27</v>
      </c>
      <c r="E121">
        <f t="shared" si="31"/>
        <v>1.8728937956450958E+27</v>
      </c>
      <c r="F121">
        <f t="shared" si="32"/>
        <v>7.03125E-2</v>
      </c>
      <c r="G121">
        <f t="shared" si="33"/>
        <v>0</v>
      </c>
      <c r="H121">
        <f t="shared" si="34"/>
        <v>1221759532448649</v>
      </c>
      <c r="I121">
        <f t="shared" si="35"/>
        <v>43276943002540</v>
      </c>
      <c r="J121" s="10" t="s">
        <v>592</v>
      </c>
      <c r="K121" s="3" t="s">
        <v>712</v>
      </c>
      <c r="L121">
        <f t="shared" si="28"/>
        <v>1</v>
      </c>
      <c r="M121">
        <f t="shared" si="26"/>
        <v>7</v>
      </c>
      <c r="N121">
        <f t="shared" si="27"/>
        <v>8</v>
      </c>
    </row>
    <row r="122" spans="1:14" x14ac:dyDescent="0.55000000000000004">
      <c r="A122">
        <v>331</v>
      </c>
      <c r="B122" s="2">
        <v>8415679158441</v>
      </c>
      <c r="C122" s="2">
        <f t="shared" si="29"/>
        <v>-2</v>
      </c>
      <c r="D122">
        <f t="shared" si="30"/>
        <v>2.3442630035977845E+28</v>
      </c>
      <c r="E122">
        <f t="shared" si="31"/>
        <v>2.3442630035977814E+28</v>
      </c>
      <c r="F122">
        <f t="shared" si="32"/>
        <v>0</v>
      </c>
      <c r="G122">
        <f t="shared" si="33"/>
        <v>0</v>
      </c>
      <c r="H122">
        <f t="shared" si="34"/>
        <v>2785589801443970</v>
      </c>
      <c r="I122">
        <f t="shared" si="35"/>
        <v>153109862634573</v>
      </c>
      <c r="J122" s="10" t="s">
        <v>550</v>
      </c>
      <c r="K122" s="4" t="s">
        <v>659</v>
      </c>
      <c r="L122">
        <v>0</v>
      </c>
      <c r="M122">
        <f t="shared" si="26"/>
        <v>0</v>
      </c>
      <c r="N122">
        <f t="shared" si="27"/>
        <v>0</v>
      </c>
    </row>
    <row r="123" spans="1:14" x14ac:dyDescent="0.55000000000000004">
      <c r="A123">
        <v>617</v>
      </c>
      <c r="B123" s="2">
        <v>5451529356242</v>
      </c>
      <c r="C123" s="2">
        <f t="shared" si="29"/>
        <v>-2</v>
      </c>
      <c r="D123">
        <f t="shared" si="30"/>
        <v>1.8336729322654462E+28</v>
      </c>
      <c r="E123">
        <f t="shared" si="31"/>
        <v>1.833672932265444E+28</v>
      </c>
      <c r="F123">
        <f t="shared" si="32"/>
        <v>0</v>
      </c>
      <c r="G123">
        <f t="shared" si="33"/>
        <v>0</v>
      </c>
      <c r="H123">
        <f t="shared" si="34"/>
        <v>3363593612801313</v>
      </c>
      <c r="I123">
        <f t="shared" si="35"/>
        <v>135413180018248</v>
      </c>
      <c r="J123" s="10" t="s">
        <v>577</v>
      </c>
      <c r="K123" s="3" t="s">
        <v>695</v>
      </c>
      <c r="L123">
        <v>1</v>
      </c>
      <c r="M123">
        <v>5</v>
      </c>
      <c r="N123">
        <f t="shared" si="27"/>
        <v>6</v>
      </c>
    </row>
    <row r="124" spans="1:14" x14ac:dyDescent="0.55000000000000004">
      <c r="A124">
        <v>241</v>
      </c>
      <c r="B124" s="2">
        <v>41847068701250</v>
      </c>
      <c r="C124" s="2">
        <f t="shared" si="29"/>
        <v>-2</v>
      </c>
      <c r="D124">
        <f t="shared" si="30"/>
        <v>4.2203369529180016E+29</v>
      </c>
      <c r="E124">
        <f t="shared" si="31"/>
        <v>4.2203369529180002E+29</v>
      </c>
      <c r="F124">
        <f t="shared" si="32"/>
        <v>0</v>
      </c>
      <c r="G124">
        <f t="shared" si="33"/>
        <v>0</v>
      </c>
      <c r="H124">
        <f t="shared" si="34"/>
        <v>1.0085143557001248E+16</v>
      </c>
      <c r="I124">
        <f t="shared" si="35"/>
        <v>649641205044599.88</v>
      </c>
      <c r="J124" s="10" t="s">
        <v>539</v>
      </c>
      <c r="K124" s="3" t="s">
        <v>646</v>
      </c>
      <c r="L124">
        <v>1</v>
      </c>
      <c r="M124">
        <f t="shared" si="26"/>
        <v>11</v>
      </c>
      <c r="N124">
        <f t="shared" si="27"/>
        <v>12</v>
      </c>
    </row>
    <row r="125" spans="1:14" x14ac:dyDescent="0.55000000000000004">
      <c r="A125">
        <v>379</v>
      </c>
      <c r="B125" s="2">
        <v>34145639104329</v>
      </c>
      <c r="C125" s="2">
        <f t="shared" si="29"/>
        <v>-2</v>
      </c>
      <c r="D125">
        <f t="shared" si="30"/>
        <v>4.4188544987052811E+29</v>
      </c>
      <c r="E125">
        <f t="shared" si="31"/>
        <v>4.4188544987052797E+29</v>
      </c>
      <c r="F125">
        <f t="shared" si="32"/>
        <v>0</v>
      </c>
      <c r="G125">
        <f t="shared" si="33"/>
        <v>0</v>
      </c>
      <c r="H125">
        <f t="shared" si="34"/>
        <v>1.2941197220540692E+16</v>
      </c>
      <c r="I125">
        <f t="shared" si="35"/>
        <v>664744650125541.13</v>
      </c>
      <c r="J125" s="10" t="s">
        <v>556</v>
      </c>
      <c r="K125" s="4" t="s">
        <v>667</v>
      </c>
      <c r="L125">
        <f t="shared" si="28"/>
        <v>0</v>
      </c>
      <c r="M125">
        <f t="shared" si="26"/>
        <v>0</v>
      </c>
      <c r="N125">
        <f t="shared" si="27"/>
        <v>0</v>
      </c>
    </row>
    <row r="126" spans="1:14" x14ac:dyDescent="0.55000000000000004">
      <c r="A126">
        <v>313</v>
      </c>
      <c r="B126" s="2">
        <v>102837446738450</v>
      </c>
      <c r="C126" s="2">
        <f t="shared" si="29"/>
        <v>-2</v>
      </c>
      <c r="D126">
        <f t="shared" si="30"/>
        <v>3.310144161376948E+30</v>
      </c>
      <c r="E126">
        <f t="shared" si="31"/>
        <v>3.310144161376948E+30</v>
      </c>
      <c r="F126">
        <f t="shared" si="32"/>
        <v>0</v>
      </c>
      <c r="G126">
        <f t="shared" si="33"/>
        <v>0</v>
      </c>
      <c r="H126">
        <f t="shared" si="34"/>
        <v>3.2188120829134848E+16</v>
      </c>
      <c r="I126">
        <f t="shared" si="35"/>
        <v>1819380158564159.8</v>
      </c>
      <c r="J126" s="10" t="s">
        <v>548</v>
      </c>
      <c r="K126" s="3" t="s">
        <v>657</v>
      </c>
      <c r="L126">
        <v>1</v>
      </c>
      <c r="M126">
        <f t="shared" si="26"/>
        <v>13</v>
      </c>
      <c r="N126">
        <f t="shared" si="27"/>
        <v>14</v>
      </c>
    </row>
    <row r="127" spans="1:14" x14ac:dyDescent="0.55000000000000004">
      <c r="A127">
        <v>521</v>
      </c>
      <c r="B127" s="2">
        <v>63265703454962</v>
      </c>
      <c r="C127" s="2">
        <f t="shared" si="29"/>
        <v>-2</v>
      </c>
      <c r="D127">
        <f t="shared" si="30"/>
        <v>2.0853281507322701E+30</v>
      </c>
      <c r="E127">
        <f t="shared" si="31"/>
        <v>2.0853281507322701E+30</v>
      </c>
      <c r="F127">
        <f t="shared" si="32"/>
        <v>0</v>
      </c>
      <c r="G127">
        <f t="shared" si="33"/>
        <v>0</v>
      </c>
      <c r="H127">
        <f t="shared" si="34"/>
        <v>3.29614315000352E+16</v>
      </c>
      <c r="I127">
        <f t="shared" si="35"/>
        <v>1444066532654319.8</v>
      </c>
      <c r="J127" s="11" t="s">
        <v>568</v>
      </c>
      <c r="K127" s="3" t="s">
        <v>684</v>
      </c>
      <c r="L127">
        <v>1</v>
      </c>
      <c r="M127">
        <f t="shared" si="26"/>
        <v>9</v>
      </c>
      <c r="N127">
        <f t="shared" si="27"/>
        <v>10</v>
      </c>
    </row>
    <row r="128" spans="1:14" x14ac:dyDescent="0.55000000000000004">
      <c r="A128">
        <v>449</v>
      </c>
      <c r="B128" s="2">
        <v>159908176614050</v>
      </c>
      <c r="C128" s="2">
        <f t="shared" si="29"/>
        <v>-2</v>
      </c>
      <c r="D128">
        <f t="shared" si="30"/>
        <v>1.1481210601665563E+31</v>
      </c>
      <c r="E128">
        <f t="shared" si="31"/>
        <v>1.1481210601665563E+31</v>
      </c>
      <c r="F128">
        <f t="shared" si="32"/>
        <v>0</v>
      </c>
      <c r="G128">
        <f t="shared" si="33"/>
        <v>0</v>
      </c>
      <c r="H128">
        <f t="shared" si="34"/>
        <v>7.1798771299708448E+16</v>
      </c>
      <c r="I128">
        <f t="shared" si="35"/>
        <v>3388393513402120</v>
      </c>
      <c r="J128" s="10" t="s">
        <v>560</v>
      </c>
      <c r="K128" s="3" t="s">
        <v>674</v>
      </c>
      <c r="L128">
        <v>1</v>
      </c>
      <c r="M128">
        <f t="shared" si="26"/>
        <v>9</v>
      </c>
      <c r="N128">
        <f t="shared" si="27"/>
        <v>10</v>
      </c>
    </row>
    <row r="129" spans="1:14" x14ac:dyDescent="0.55000000000000004">
      <c r="A129">
        <v>509</v>
      </c>
      <c r="B129" s="2">
        <v>615326563501778</v>
      </c>
      <c r="C129" s="2">
        <f t="shared" si="29"/>
        <v>-2</v>
      </c>
      <c r="D129">
        <f t="shared" si="30"/>
        <v>1.9272103089321198E+32</v>
      </c>
      <c r="E129">
        <f t="shared" si="31"/>
        <v>1.9272103089321198E+32</v>
      </c>
      <c r="F129">
        <f t="shared" si="32"/>
        <v>0</v>
      </c>
      <c r="G129">
        <f t="shared" si="33"/>
        <v>0</v>
      </c>
      <c r="H129">
        <f t="shared" si="34"/>
        <v>3.1320122082240499E+17</v>
      </c>
      <c r="I129">
        <f t="shared" si="35"/>
        <v>1.38824000408147E+16</v>
      </c>
      <c r="J129" s="10" t="s">
        <v>567</v>
      </c>
      <c r="K129" s="3" t="s">
        <v>683</v>
      </c>
      <c r="L129">
        <v>1</v>
      </c>
      <c r="M129">
        <f t="shared" si="26"/>
        <v>5</v>
      </c>
      <c r="N129">
        <f t="shared" si="27"/>
        <v>6</v>
      </c>
    </row>
    <row r="130" spans="1:14" x14ac:dyDescent="0.55000000000000004">
      <c r="A130">
        <v>619</v>
      </c>
      <c r="B130" s="2">
        <v>835563021895449</v>
      </c>
      <c r="C130" s="2">
        <f t="shared" ref="C130:C161" si="36">IF(G130=0,-2,2)</f>
        <v>2</v>
      </c>
      <c r="D130">
        <f t="shared" ref="D130:D161" si="37">B130*(B130*A130+2)</f>
        <v>4.3216448384305482E+32</v>
      </c>
      <c r="E130">
        <f t="shared" ref="E130:E161" si="38">B130*(B130*A130-2)</f>
        <v>4.3216448384305482E+32</v>
      </c>
      <c r="F130">
        <f t="shared" ref="F130:F161" si="39">SQRT(D130)-_xlfn.FLOOR.MATH(SQRT(D130))</f>
        <v>40</v>
      </c>
      <c r="G130">
        <f t="shared" ref="G130:G161" si="40">SQRT(E130)-_xlfn.FLOOR.MATH(SQRT(E130))</f>
        <v>40</v>
      </c>
      <c r="H130">
        <f t="shared" ref="H130:H161" si="41">IF(G130=0,B130*A130-1,B130*A130+1)</f>
        <v>5.1721351055328294E+17</v>
      </c>
      <c r="I130">
        <f t="shared" ref="I130:I161" si="42">SQRT((H130*H130-1)/A130)</f>
        <v>2.078856618054874E+16</v>
      </c>
      <c r="J130" s="10" t="s">
        <v>578</v>
      </c>
      <c r="K130" s="4" t="s">
        <v>696</v>
      </c>
      <c r="L130">
        <v>0</v>
      </c>
      <c r="M130">
        <v>0</v>
      </c>
      <c r="N130">
        <f t="shared" si="27"/>
        <v>0</v>
      </c>
    </row>
    <row r="131" spans="1:14" x14ac:dyDescent="0.55000000000000004">
      <c r="A131" s="6">
        <v>941</v>
      </c>
      <c r="B131" s="7">
        <v>1135945702433520</v>
      </c>
      <c r="C131" s="7">
        <f t="shared" si="36"/>
        <v>-2</v>
      </c>
      <c r="D131" s="6">
        <f t="shared" si="37"/>
        <v>1.2142406531834293E+33</v>
      </c>
      <c r="E131" s="6">
        <f t="shared" si="38"/>
        <v>1.2142406531834293E+33</v>
      </c>
      <c r="F131" s="6">
        <f t="shared" si="39"/>
        <v>0</v>
      </c>
      <c r="G131" s="6">
        <f t="shared" si="40"/>
        <v>0</v>
      </c>
      <c r="H131" s="6">
        <f t="shared" si="41"/>
        <v>1.0689249059899423E+18</v>
      </c>
      <c r="I131" s="6">
        <f t="shared" si="42"/>
        <v>3.484595605207912E+16</v>
      </c>
      <c r="J131" s="12" t="s">
        <v>600</v>
      </c>
      <c r="K131" s="5" t="s">
        <v>722</v>
      </c>
    </row>
    <row r="132" spans="1:14" x14ac:dyDescent="0.55000000000000004">
      <c r="A132" s="6">
        <v>811</v>
      </c>
      <c r="B132" s="7">
        <v>1704158031539600</v>
      </c>
      <c r="C132" s="7">
        <f t="shared" si="36"/>
        <v>-2</v>
      </c>
      <c r="D132" s="6">
        <f t="shared" si="37"/>
        <v>2.3552693777298095E+33</v>
      </c>
      <c r="E132" s="6">
        <f t="shared" si="38"/>
        <v>2.3552693777298095E+33</v>
      </c>
      <c r="F132" s="6">
        <f t="shared" si="39"/>
        <v>0</v>
      </c>
      <c r="G132" s="6">
        <f t="shared" si="40"/>
        <v>0</v>
      </c>
      <c r="H132" s="6">
        <f t="shared" si="41"/>
        <v>1.3820721635786156E+18</v>
      </c>
      <c r="I132" s="6">
        <f t="shared" si="42"/>
        <v>4.8531117622921168E+16</v>
      </c>
      <c r="J132" s="12" t="s">
        <v>593</v>
      </c>
      <c r="K132" s="5" t="s">
        <v>713</v>
      </c>
    </row>
    <row r="133" spans="1:14" x14ac:dyDescent="0.55000000000000004">
      <c r="A133" s="6">
        <v>337</v>
      </c>
      <c r="B133" s="7">
        <v>6124066329761760</v>
      </c>
      <c r="C133" s="7">
        <f t="shared" si="36"/>
        <v>2</v>
      </c>
      <c r="D133" s="6">
        <f t="shared" si="37"/>
        <v>1.2638911494615404E+34</v>
      </c>
      <c r="E133" s="6">
        <f t="shared" si="38"/>
        <v>1.2638911494615404E+34</v>
      </c>
      <c r="F133" s="6">
        <f t="shared" si="39"/>
        <v>-272</v>
      </c>
      <c r="G133" s="6">
        <f t="shared" si="40"/>
        <v>-272</v>
      </c>
      <c r="H133" s="6">
        <f t="shared" si="41"/>
        <v>2.0638103531297132E+18</v>
      </c>
      <c r="I133" s="6">
        <f t="shared" si="42"/>
        <v>1.1242291356576472E+17</v>
      </c>
      <c r="J133" s="12" t="s">
        <v>551</v>
      </c>
      <c r="K133" s="8" t="s">
        <v>660</v>
      </c>
    </row>
    <row r="134" spans="1:14" x14ac:dyDescent="0.55000000000000004">
      <c r="A134" s="6">
        <v>181</v>
      </c>
      <c r="B134" s="7">
        <v>1.36444498553822E+16</v>
      </c>
      <c r="C134" s="7">
        <f t="shared" si="36"/>
        <v>2</v>
      </c>
      <c r="D134" s="6">
        <f t="shared" si="37"/>
        <v>3.3696953145943121E+34</v>
      </c>
      <c r="E134" s="6">
        <f t="shared" si="38"/>
        <v>3.3696953145943121E+34</v>
      </c>
      <c r="F134" s="6">
        <f t="shared" si="39"/>
        <v>384</v>
      </c>
      <c r="G134" s="6">
        <f t="shared" si="40"/>
        <v>384</v>
      </c>
      <c r="H134" s="6">
        <f t="shared" si="41"/>
        <v>2.4696454238241782E+18</v>
      </c>
      <c r="I134" s="6">
        <f t="shared" si="42"/>
        <v>1.8356729868346138E+17</v>
      </c>
      <c r="J134" s="12" t="s">
        <v>531</v>
      </c>
      <c r="K134" s="8" t="s">
        <v>636</v>
      </c>
    </row>
    <row r="135" spans="1:14" x14ac:dyDescent="0.55000000000000004">
      <c r="A135" s="6">
        <v>967</v>
      </c>
      <c r="B135" s="7">
        <v>4808203265581680</v>
      </c>
      <c r="C135" s="7">
        <f t="shared" si="36"/>
        <v>2</v>
      </c>
      <c r="D135" s="6">
        <f t="shared" si="37"/>
        <v>2.2355897627926369E+34</v>
      </c>
      <c r="E135" s="6">
        <f t="shared" si="38"/>
        <v>2.2355897627926369E+34</v>
      </c>
      <c r="F135" s="6">
        <f t="shared" si="39"/>
        <v>-320</v>
      </c>
      <c r="G135" s="6">
        <f t="shared" si="40"/>
        <v>-320</v>
      </c>
      <c r="H135" s="6">
        <f t="shared" si="41"/>
        <v>4.6495325578174843E+18</v>
      </c>
      <c r="I135" s="6">
        <f t="shared" si="42"/>
        <v>1.4951888719464966E+17</v>
      </c>
      <c r="J135" s="12" t="s">
        <v>603</v>
      </c>
      <c r="K135" s="8" t="s">
        <v>725</v>
      </c>
    </row>
    <row r="136" spans="1:14" x14ac:dyDescent="0.55000000000000004">
      <c r="A136" s="6">
        <v>653</v>
      </c>
      <c r="B136" s="7">
        <v>1.60796118969024E+16</v>
      </c>
      <c r="C136" s="7">
        <f t="shared" si="36"/>
        <v>-2</v>
      </c>
      <c r="D136" s="6">
        <f t="shared" si="37"/>
        <v>1.6883570894701841E+35</v>
      </c>
      <c r="E136" s="6">
        <f t="shared" si="38"/>
        <v>1.6883570894701841E+35</v>
      </c>
      <c r="F136" s="6">
        <f t="shared" si="39"/>
        <v>0</v>
      </c>
      <c r="G136" s="6">
        <f t="shared" si="40"/>
        <v>0</v>
      </c>
      <c r="H136" s="6">
        <f t="shared" si="41"/>
        <v>1.0499986568677267E+19</v>
      </c>
      <c r="I136" s="6">
        <f t="shared" si="42"/>
        <v>4.1089622649401203E+17</v>
      </c>
      <c r="J136" s="12" t="s">
        <v>581</v>
      </c>
      <c r="K136" s="8" t="s">
        <v>699</v>
      </c>
    </row>
    <row r="137" spans="1:14" x14ac:dyDescent="0.55000000000000004">
      <c r="A137" s="6">
        <v>953</v>
      </c>
      <c r="B137" s="7">
        <v>1.58347658380486E+16</v>
      </c>
      <c r="C137" s="7">
        <f t="shared" si="36"/>
        <v>-2</v>
      </c>
      <c r="D137" s="6">
        <f t="shared" si="37"/>
        <v>2.3895503811597694E+35</v>
      </c>
      <c r="E137" s="6">
        <f t="shared" si="38"/>
        <v>2.3895503811597694E+35</v>
      </c>
      <c r="F137" s="6">
        <f t="shared" si="39"/>
        <v>0</v>
      </c>
      <c r="G137" s="6">
        <f t="shared" si="40"/>
        <v>0</v>
      </c>
      <c r="H137" s="6">
        <f t="shared" si="41"/>
        <v>1.5090531843660317E+19</v>
      </c>
      <c r="I137" s="6">
        <f t="shared" si="42"/>
        <v>4.8883027536761363E+17</v>
      </c>
      <c r="J137" s="12" t="s">
        <v>602</v>
      </c>
      <c r="K137" s="8" t="s">
        <v>724</v>
      </c>
    </row>
    <row r="138" spans="1:14" x14ac:dyDescent="0.55000000000000004">
      <c r="A138" s="6">
        <v>569</v>
      </c>
      <c r="B138" s="7">
        <v>2.945601618918E+16</v>
      </c>
      <c r="C138" s="7">
        <f t="shared" si="36"/>
        <v>-2</v>
      </c>
      <c r="D138" s="6">
        <f t="shared" si="37"/>
        <v>4.9369677026048632E+35</v>
      </c>
      <c r="E138" s="6">
        <f t="shared" si="38"/>
        <v>4.9369677026048632E+35</v>
      </c>
      <c r="F138" s="6">
        <f t="shared" si="39"/>
        <v>0</v>
      </c>
      <c r="G138" s="6">
        <f t="shared" si="40"/>
        <v>0</v>
      </c>
      <c r="H138" s="6">
        <f t="shared" si="41"/>
        <v>1.6760473211643421E+19</v>
      </c>
      <c r="I138" s="6">
        <f t="shared" si="42"/>
        <v>7.0263558852401318E+17</v>
      </c>
      <c r="J138" s="12" t="s">
        <v>572</v>
      </c>
      <c r="K138" s="8" t="s">
        <v>689</v>
      </c>
    </row>
    <row r="139" spans="1:14" x14ac:dyDescent="0.55000000000000004">
      <c r="A139" t="s">
        <v>473</v>
      </c>
      <c r="B139" s="2" t="s">
        <v>469</v>
      </c>
      <c r="C139" s="2" t="e">
        <f t="shared" si="36"/>
        <v>#VALUE!</v>
      </c>
      <c r="D139" t="e">
        <f t="shared" si="37"/>
        <v>#VALUE!</v>
      </c>
      <c r="E139" t="e">
        <f t="shared" si="38"/>
        <v>#VALUE!</v>
      </c>
      <c r="F139" t="e">
        <f t="shared" si="39"/>
        <v>#VALUE!</v>
      </c>
      <c r="G139" t="e">
        <f t="shared" si="40"/>
        <v>#VALUE!</v>
      </c>
      <c r="H139" t="e">
        <f t="shared" si="41"/>
        <v>#VALUE!</v>
      </c>
      <c r="I139" t="e">
        <f t="shared" si="42"/>
        <v>#VALUE!</v>
      </c>
      <c r="J139" s="4"/>
    </row>
    <row r="140" spans="1:14" x14ac:dyDescent="0.55000000000000004">
      <c r="A140" t="s">
        <v>474</v>
      </c>
      <c r="B140" s="2" t="s">
        <v>469</v>
      </c>
      <c r="C140" s="2" t="e">
        <f t="shared" si="36"/>
        <v>#VALUE!</v>
      </c>
      <c r="D140" t="e">
        <f t="shared" si="37"/>
        <v>#VALUE!</v>
      </c>
      <c r="E140" t="e">
        <f t="shared" si="38"/>
        <v>#VALUE!</v>
      </c>
      <c r="F140" t="e">
        <f t="shared" si="39"/>
        <v>#VALUE!</v>
      </c>
      <c r="G140" t="e">
        <f t="shared" si="40"/>
        <v>#VALUE!</v>
      </c>
      <c r="H140" t="e">
        <f t="shared" si="41"/>
        <v>#VALUE!</v>
      </c>
      <c r="I140" t="e">
        <f t="shared" si="42"/>
        <v>#VALUE!</v>
      </c>
    </row>
    <row r="141" spans="1:14" x14ac:dyDescent="0.55000000000000004">
      <c r="A141" t="s">
        <v>475</v>
      </c>
      <c r="B141" s="2" t="s">
        <v>469</v>
      </c>
      <c r="C141" s="2" t="e">
        <f t="shared" si="36"/>
        <v>#VALUE!</v>
      </c>
      <c r="D141" t="e">
        <f t="shared" si="37"/>
        <v>#VALUE!</v>
      </c>
      <c r="E141" t="e">
        <f t="shared" si="38"/>
        <v>#VALUE!</v>
      </c>
      <c r="F141" t="e">
        <f t="shared" si="39"/>
        <v>#VALUE!</v>
      </c>
      <c r="G141" t="e">
        <f t="shared" si="40"/>
        <v>#VALUE!</v>
      </c>
      <c r="H141" t="e">
        <f t="shared" si="41"/>
        <v>#VALUE!</v>
      </c>
      <c r="I141" t="e">
        <f t="shared" si="42"/>
        <v>#VALUE!</v>
      </c>
    </row>
    <row r="142" spans="1:14" x14ac:dyDescent="0.55000000000000004">
      <c r="A142" t="s">
        <v>476</v>
      </c>
      <c r="B142" s="2" t="s">
        <v>469</v>
      </c>
      <c r="C142" s="2" t="e">
        <f t="shared" si="36"/>
        <v>#VALUE!</v>
      </c>
      <c r="D142" t="e">
        <f t="shared" si="37"/>
        <v>#VALUE!</v>
      </c>
      <c r="E142" t="e">
        <f t="shared" si="38"/>
        <v>#VALUE!</v>
      </c>
      <c r="F142" t="e">
        <f t="shared" si="39"/>
        <v>#VALUE!</v>
      </c>
      <c r="G142" t="e">
        <f t="shared" si="40"/>
        <v>#VALUE!</v>
      </c>
      <c r="H142" t="e">
        <f t="shared" si="41"/>
        <v>#VALUE!</v>
      </c>
      <c r="I142" t="e">
        <f t="shared" si="42"/>
        <v>#VALUE!</v>
      </c>
    </row>
    <row r="143" spans="1:14" x14ac:dyDescent="0.55000000000000004">
      <c r="A143" t="s">
        <v>477</v>
      </c>
      <c r="B143" s="2" t="s">
        <v>469</v>
      </c>
      <c r="C143" s="2" t="e">
        <f t="shared" si="36"/>
        <v>#VALUE!</v>
      </c>
      <c r="D143" t="e">
        <f t="shared" si="37"/>
        <v>#VALUE!</v>
      </c>
      <c r="E143" t="e">
        <f t="shared" si="38"/>
        <v>#VALUE!</v>
      </c>
      <c r="F143" t="e">
        <f t="shared" si="39"/>
        <v>#VALUE!</v>
      </c>
      <c r="G143" t="e">
        <f t="shared" si="40"/>
        <v>#VALUE!</v>
      </c>
      <c r="H143" t="e">
        <f t="shared" si="41"/>
        <v>#VALUE!</v>
      </c>
      <c r="I143" t="e">
        <f t="shared" si="42"/>
        <v>#VALUE!</v>
      </c>
    </row>
    <row r="144" spans="1:14" x14ac:dyDescent="0.55000000000000004">
      <c r="A144" t="s">
        <v>478</v>
      </c>
      <c r="B144" s="2" t="s">
        <v>469</v>
      </c>
      <c r="C144" s="2" t="e">
        <f t="shared" si="36"/>
        <v>#VALUE!</v>
      </c>
      <c r="D144" t="e">
        <f t="shared" si="37"/>
        <v>#VALUE!</v>
      </c>
      <c r="E144" t="e">
        <f t="shared" si="38"/>
        <v>#VALUE!</v>
      </c>
      <c r="F144" t="e">
        <f t="shared" si="39"/>
        <v>#VALUE!</v>
      </c>
      <c r="G144" t="e">
        <f t="shared" si="40"/>
        <v>#VALUE!</v>
      </c>
      <c r="H144" t="e">
        <f t="shared" si="41"/>
        <v>#VALUE!</v>
      </c>
      <c r="I144" t="e">
        <f t="shared" si="42"/>
        <v>#VALUE!</v>
      </c>
    </row>
    <row r="145" spans="1:9" x14ac:dyDescent="0.55000000000000004">
      <c r="A145" t="s">
        <v>479</v>
      </c>
      <c r="B145" s="2" t="s">
        <v>469</v>
      </c>
      <c r="C145" s="2" t="e">
        <f t="shared" si="36"/>
        <v>#VALUE!</v>
      </c>
      <c r="D145" t="e">
        <f t="shared" si="37"/>
        <v>#VALUE!</v>
      </c>
      <c r="E145" t="e">
        <f t="shared" si="38"/>
        <v>#VALUE!</v>
      </c>
      <c r="F145" t="e">
        <f t="shared" si="39"/>
        <v>#VALUE!</v>
      </c>
      <c r="G145" t="e">
        <f t="shared" si="40"/>
        <v>#VALUE!</v>
      </c>
      <c r="H145" t="e">
        <f t="shared" si="41"/>
        <v>#VALUE!</v>
      </c>
      <c r="I145" t="e">
        <f t="shared" si="42"/>
        <v>#VALUE!</v>
      </c>
    </row>
    <row r="146" spans="1:9" x14ac:dyDescent="0.55000000000000004">
      <c r="A146" t="s">
        <v>480</v>
      </c>
      <c r="B146" s="2" t="s">
        <v>469</v>
      </c>
      <c r="C146" s="2" t="e">
        <f t="shared" si="36"/>
        <v>#VALUE!</v>
      </c>
      <c r="D146" t="e">
        <f t="shared" si="37"/>
        <v>#VALUE!</v>
      </c>
      <c r="E146" t="e">
        <f t="shared" si="38"/>
        <v>#VALUE!</v>
      </c>
      <c r="F146" t="e">
        <f t="shared" si="39"/>
        <v>#VALUE!</v>
      </c>
      <c r="G146" t="e">
        <f t="shared" si="40"/>
        <v>#VALUE!</v>
      </c>
      <c r="H146" t="e">
        <f t="shared" si="41"/>
        <v>#VALUE!</v>
      </c>
      <c r="I146" t="e">
        <f t="shared" si="42"/>
        <v>#VALUE!</v>
      </c>
    </row>
    <row r="147" spans="1:9" x14ac:dyDescent="0.55000000000000004">
      <c r="A147" t="s">
        <v>481</v>
      </c>
      <c r="B147" s="2" t="s">
        <v>469</v>
      </c>
      <c r="C147" s="2" t="e">
        <f t="shared" si="36"/>
        <v>#VALUE!</v>
      </c>
      <c r="D147" t="e">
        <f t="shared" si="37"/>
        <v>#VALUE!</v>
      </c>
      <c r="E147" t="e">
        <f t="shared" si="38"/>
        <v>#VALUE!</v>
      </c>
      <c r="F147" t="e">
        <f t="shared" si="39"/>
        <v>#VALUE!</v>
      </c>
      <c r="G147" t="e">
        <f t="shared" si="40"/>
        <v>#VALUE!</v>
      </c>
      <c r="H147" t="e">
        <f t="shared" si="41"/>
        <v>#VALUE!</v>
      </c>
      <c r="I147" t="e">
        <f t="shared" si="42"/>
        <v>#VALUE!</v>
      </c>
    </row>
    <row r="148" spans="1:9" x14ac:dyDescent="0.55000000000000004">
      <c r="A148" t="s">
        <v>482</v>
      </c>
      <c r="B148" s="2" t="s">
        <v>469</v>
      </c>
      <c r="C148" s="2" t="e">
        <f t="shared" si="36"/>
        <v>#VALUE!</v>
      </c>
      <c r="D148" t="e">
        <f t="shared" si="37"/>
        <v>#VALUE!</v>
      </c>
      <c r="E148" t="e">
        <f t="shared" si="38"/>
        <v>#VALUE!</v>
      </c>
      <c r="F148" t="e">
        <f t="shared" si="39"/>
        <v>#VALUE!</v>
      </c>
      <c r="G148" t="e">
        <f t="shared" si="40"/>
        <v>#VALUE!</v>
      </c>
      <c r="H148" t="e">
        <f t="shared" si="41"/>
        <v>#VALUE!</v>
      </c>
      <c r="I148" t="e">
        <f t="shared" si="42"/>
        <v>#VALUE!</v>
      </c>
    </row>
    <row r="149" spans="1:9" x14ac:dyDescent="0.55000000000000004">
      <c r="A149" t="s">
        <v>483</v>
      </c>
      <c r="B149" s="2" t="s">
        <v>469</v>
      </c>
      <c r="C149" s="2" t="e">
        <f t="shared" si="36"/>
        <v>#VALUE!</v>
      </c>
      <c r="D149" t="e">
        <f t="shared" si="37"/>
        <v>#VALUE!</v>
      </c>
      <c r="E149" t="e">
        <f t="shared" si="38"/>
        <v>#VALUE!</v>
      </c>
      <c r="F149" t="e">
        <f t="shared" si="39"/>
        <v>#VALUE!</v>
      </c>
      <c r="G149" t="e">
        <f t="shared" si="40"/>
        <v>#VALUE!</v>
      </c>
      <c r="H149" t="e">
        <f t="shared" si="41"/>
        <v>#VALUE!</v>
      </c>
      <c r="I149" t="e">
        <f t="shared" si="42"/>
        <v>#VALUE!</v>
      </c>
    </row>
    <row r="150" spans="1:9" x14ac:dyDescent="0.55000000000000004">
      <c r="A150" t="s">
        <v>484</v>
      </c>
      <c r="B150" s="2" t="s">
        <v>469</v>
      </c>
      <c r="C150" s="2" t="e">
        <f t="shared" si="36"/>
        <v>#VALUE!</v>
      </c>
      <c r="D150" t="e">
        <f t="shared" si="37"/>
        <v>#VALUE!</v>
      </c>
      <c r="E150" t="e">
        <f t="shared" si="38"/>
        <v>#VALUE!</v>
      </c>
      <c r="F150" t="e">
        <f t="shared" si="39"/>
        <v>#VALUE!</v>
      </c>
      <c r="G150" t="e">
        <f t="shared" si="40"/>
        <v>#VALUE!</v>
      </c>
      <c r="H150" t="e">
        <f t="shared" si="41"/>
        <v>#VALUE!</v>
      </c>
      <c r="I150" t="e">
        <f t="shared" si="42"/>
        <v>#VALUE!</v>
      </c>
    </row>
    <row r="151" spans="1:9" x14ac:dyDescent="0.55000000000000004">
      <c r="A151" t="s">
        <v>485</v>
      </c>
      <c r="B151" s="2" t="s">
        <v>469</v>
      </c>
      <c r="C151" s="2" t="e">
        <f t="shared" si="36"/>
        <v>#VALUE!</v>
      </c>
      <c r="D151" t="e">
        <f t="shared" si="37"/>
        <v>#VALUE!</v>
      </c>
      <c r="E151" t="e">
        <f t="shared" si="38"/>
        <v>#VALUE!</v>
      </c>
      <c r="F151" t="e">
        <f t="shared" si="39"/>
        <v>#VALUE!</v>
      </c>
      <c r="G151" t="e">
        <f t="shared" si="40"/>
        <v>#VALUE!</v>
      </c>
      <c r="H151" t="e">
        <f t="shared" si="41"/>
        <v>#VALUE!</v>
      </c>
      <c r="I151" t="e">
        <f t="shared" si="42"/>
        <v>#VALUE!</v>
      </c>
    </row>
    <row r="152" spans="1:9" x14ac:dyDescent="0.55000000000000004">
      <c r="A152" t="s">
        <v>486</v>
      </c>
      <c r="B152" s="2" t="s">
        <v>469</v>
      </c>
      <c r="C152" s="2" t="e">
        <f t="shared" si="36"/>
        <v>#VALUE!</v>
      </c>
      <c r="D152" t="e">
        <f t="shared" si="37"/>
        <v>#VALUE!</v>
      </c>
      <c r="E152" t="e">
        <f t="shared" si="38"/>
        <v>#VALUE!</v>
      </c>
      <c r="F152" t="e">
        <f t="shared" si="39"/>
        <v>#VALUE!</v>
      </c>
      <c r="G152" t="e">
        <f t="shared" si="40"/>
        <v>#VALUE!</v>
      </c>
      <c r="H152" t="e">
        <f t="shared" si="41"/>
        <v>#VALUE!</v>
      </c>
      <c r="I152" t="e">
        <f t="shared" si="42"/>
        <v>#VALUE!</v>
      </c>
    </row>
    <row r="153" spans="1:9" x14ac:dyDescent="0.55000000000000004">
      <c r="A153" t="s">
        <v>487</v>
      </c>
      <c r="B153" s="2" t="s">
        <v>469</v>
      </c>
      <c r="C153" s="2" t="e">
        <f t="shared" si="36"/>
        <v>#VALUE!</v>
      </c>
      <c r="D153" t="e">
        <f t="shared" si="37"/>
        <v>#VALUE!</v>
      </c>
      <c r="E153" t="e">
        <f t="shared" si="38"/>
        <v>#VALUE!</v>
      </c>
      <c r="F153" t="e">
        <f t="shared" si="39"/>
        <v>#VALUE!</v>
      </c>
      <c r="G153" t="e">
        <f t="shared" si="40"/>
        <v>#VALUE!</v>
      </c>
      <c r="H153" t="e">
        <f t="shared" si="41"/>
        <v>#VALUE!</v>
      </c>
      <c r="I153" t="e">
        <f t="shared" si="42"/>
        <v>#VALUE!</v>
      </c>
    </row>
    <row r="154" spans="1:9" x14ac:dyDescent="0.55000000000000004">
      <c r="A154" t="s">
        <v>488</v>
      </c>
      <c r="B154" s="2" t="s">
        <v>469</v>
      </c>
      <c r="C154" s="2" t="e">
        <f t="shared" si="36"/>
        <v>#VALUE!</v>
      </c>
      <c r="D154" t="e">
        <f t="shared" si="37"/>
        <v>#VALUE!</v>
      </c>
      <c r="E154" t="e">
        <f t="shared" si="38"/>
        <v>#VALUE!</v>
      </c>
      <c r="F154" t="e">
        <f t="shared" si="39"/>
        <v>#VALUE!</v>
      </c>
      <c r="G154" t="e">
        <f t="shared" si="40"/>
        <v>#VALUE!</v>
      </c>
      <c r="H154" t="e">
        <f t="shared" si="41"/>
        <v>#VALUE!</v>
      </c>
      <c r="I154" t="e">
        <f t="shared" si="42"/>
        <v>#VALUE!</v>
      </c>
    </row>
    <row r="155" spans="1:9" x14ac:dyDescent="0.55000000000000004">
      <c r="A155" t="s">
        <v>489</v>
      </c>
      <c r="B155" s="2" t="s">
        <v>469</v>
      </c>
      <c r="C155" s="2" t="e">
        <f t="shared" si="36"/>
        <v>#VALUE!</v>
      </c>
      <c r="D155" t="e">
        <f t="shared" si="37"/>
        <v>#VALUE!</v>
      </c>
      <c r="E155" t="e">
        <f t="shared" si="38"/>
        <v>#VALUE!</v>
      </c>
      <c r="F155" t="e">
        <f t="shared" si="39"/>
        <v>#VALUE!</v>
      </c>
      <c r="G155" t="e">
        <f t="shared" si="40"/>
        <v>#VALUE!</v>
      </c>
      <c r="H155" t="e">
        <f t="shared" si="41"/>
        <v>#VALUE!</v>
      </c>
      <c r="I155" t="e">
        <f t="shared" si="42"/>
        <v>#VALUE!</v>
      </c>
    </row>
    <row r="156" spans="1:9" x14ac:dyDescent="0.55000000000000004">
      <c r="A156" t="s">
        <v>490</v>
      </c>
      <c r="B156" s="2" t="s">
        <v>469</v>
      </c>
      <c r="C156" s="2" t="e">
        <f t="shared" si="36"/>
        <v>#VALUE!</v>
      </c>
      <c r="D156" t="e">
        <f t="shared" si="37"/>
        <v>#VALUE!</v>
      </c>
      <c r="E156" t="e">
        <f t="shared" si="38"/>
        <v>#VALUE!</v>
      </c>
      <c r="F156" t="e">
        <f t="shared" si="39"/>
        <v>#VALUE!</v>
      </c>
      <c r="G156" t="e">
        <f t="shared" si="40"/>
        <v>#VALUE!</v>
      </c>
      <c r="H156" t="e">
        <f t="shared" si="41"/>
        <v>#VALUE!</v>
      </c>
      <c r="I156" t="e">
        <f t="shared" si="42"/>
        <v>#VALUE!</v>
      </c>
    </row>
    <row r="157" spans="1:9" x14ac:dyDescent="0.55000000000000004">
      <c r="A157" t="s">
        <v>491</v>
      </c>
      <c r="B157" s="2" t="s">
        <v>469</v>
      </c>
      <c r="C157" s="2" t="e">
        <f t="shared" si="36"/>
        <v>#VALUE!</v>
      </c>
      <c r="D157" t="e">
        <f t="shared" si="37"/>
        <v>#VALUE!</v>
      </c>
      <c r="E157" t="e">
        <f t="shared" si="38"/>
        <v>#VALUE!</v>
      </c>
      <c r="F157" t="e">
        <f t="shared" si="39"/>
        <v>#VALUE!</v>
      </c>
      <c r="G157" t="e">
        <f t="shared" si="40"/>
        <v>#VALUE!</v>
      </c>
      <c r="H157" t="e">
        <f t="shared" si="41"/>
        <v>#VALUE!</v>
      </c>
      <c r="I157" t="e">
        <f t="shared" si="42"/>
        <v>#VALUE!</v>
      </c>
    </row>
    <row r="158" spans="1:9" x14ac:dyDescent="0.55000000000000004">
      <c r="A158" t="s">
        <v>492</v>
      </c>
      <c r="B158" s="2" t="s">
        <v>469</v>
      </c>
      <c r="C158" s="2" t="e">
        <f t="shared" si="36"/>
        <v>#VALUE!</v>
      </c>
      <c r="D158" t="e">
        <f t="shared" si="37"/>
        <v>#VALUE!</v>
      </c>
      <c r="E158" t="e">
        <f t="shared" si="38"/>
        <v>#VALUE!</v>
      </c>
      <c r="F158" t="e">
        <f t="shared" si="39"/>
        <v>#VALUE!</v>
      </c>
      <c r="G158" t="e">
        <f t="shared" si="40"/>
        <v>#VALUE!</v>
      </c>
      <c r="H158" t="e">
        <f t="shared" si="41"/>
        <v>#VALUE!</v>
      </c>
      <c r="I158" t="e">
        <f t="shared" si="42"/>
        <v>#VALUE!</v>
      </c>
    </row>
    <row r="159" spans="1:9" x14ac:dyDescent="0.55000000000000004">
      <c r="A159" t="s">
        <v>493</v>
      </c>
      <c r="B159" s="2" t="s">
        <v>469</v>
      </c>
      <c r="C159" s="2" t="e">
        <f t="shared" si="36"/>
        <v>#VALUE!</v>
      </c>
      <c r="D159" t="e">
        <f t="shared" si="37"/>
        <v>#VALUE!</v>
      </c>
      <c r="E159" t="e">
        <f t="shared" si="38"/>
        <v>#VALUE!</v>
      </c>
      <c r="F159" t="e">
        <f t="shared" si="39"/>
        <v>#VALUE!</v>
      </c>
      <c r="G159" t="e">
        <f t="shared" si="40"/>
        <v>#VALUE!</v>
      </c>
      <c r="H159" t="e">
        <f t="shared" si="41"/>
        <v>#VALUE!</v>
      </c>
      <c r="I159" t="e">
        <f t="shared" si="42"/>
        <v>#VALUE!</v>
      </c>
    </row>
    <row r="160" spans="1:9" x14ac:dyDescent="0.55000000000000004">
      <c r="A160" t="s">
        <v>494</v>
      </c>
      <c r="B160" s="2" t="s">
        <v>469</v>
      </c>
      <c r="C160" s="2" t="e">
        <f t="shared" si="36"/>
        <v>#VALUE!</v>
      </c>
      <c r="D160" t="e">
        <f t="shared" si="37"/>
        <v>#VALUE!</v>
      </c>
      <c r="E160" t="e">
        <f t="shared" si="38"/>
        <v>#VALUE!</v>
      </c>
      <c r="F160" t="e">
        <f t="shared" si="39"/>
        <v>#VALUE!</v>
      </c>
      <c r="G160" t="e">
        <f t="shared" si="40"/>
        <v>#VALUE!</v>
      </c>
      <c r="H160" t="e">
        <f t="shared" si="41"/>
        <v>#VALUE!</v>
      </c>
      <c r="I160" t="e">
        <f t="shared" si="42"/>
        <v>#VALUE!</v>
      </c>
    </row>
    <row r="161" spans="1:9" x14ac:dyDescent="0.55000000000000004">
      <c r="A161" t="s">
        <v>495</v>
      </c>
      <c r="B161" s="2" t="s">
        <v>469</v>
      </c>
      <c r="C161" s="2" t="e">
        <f t="shared" si="36"/>
        <v>#VALUE!</v>
      </c>
      <c r="D161" t="e">
        <f t="shared" si="37"/>
        <v>#VALUE!</v>
      </c>
      <c r="E161" t="e">
        <f t="shared" si="38"/>
        <v>#VALUE!</v>
      </c>
      <c r="F161" t="e">
        <f t="shared" si="39"/>
        <v>#VALUE!</v>
      </c>
      <c r="G161" t="e">
        <f t="shared" si="40"/>
        <v>#VALUE!</v>
      </c>
      <c r="H161" t="e">
        <f t="shared" si="41"/>
        <v>#VALUE!</v>
      </c>
      <c r="I161" t="e">
        <f t="shared" si="42"/>
        <v>#VALUE!</v>
      </c>
    </row>
    <row r="162" spans="1:9" x14ac:dyDescent="0.55000000000000004">
      <c r="A162" t="s">
        <v>496</v>
      </c>
      <c r="B162" s="2" t="s">
        <v>469</v>
      </c>
      <c r="C162" s="2" t="e">
        <f t="shared" ref="C162:C169" si="43">IF(G162=0,-2,2)</f>
        <v>#VALUE!</v>
      </c>
      <c r="D162" t="e">
        <f t="shared" ref="D162:D169" si="44">B162*(B162*A162+2)</f>
        <v>#VALUE!</v>
      </c>
      <c r="E162" t="e">
        <f t="shared" ref="E162:E169" si="45">B162*(B162*A162-2)</f>
        <v>#VALUE!</v>
      </c>
      <c r="F162" t="e">
        <f t="shared" ref="F162:F169" si="46">SQRT(D162)-_xlfn.FLOOR.MATH(SQRT(D162))</f>
        <v>#VALUE!</v>
      </c>
      <c r="G162" t="e">
        <f t="shared" ref="G162:G169" si="47">SQRT(E162)-_xlfn.FLOOR.MATH(SQRT(E162))</f>
        <v>#VALUE!</v>
      </c>
      <c r="H162" t="e">
        <f t="shared" ref="H162:H169" si="48">IF(G162=0,B162*A162-1,B162*A162+1)</f>
        <v>#VALUE!</v>
      </c>
      <c r="I162" t="e">
        <f t="shared" ref="I162:I169" si="49">SQRT((H162*H162-1)/A162)</f>
        <v>#VALUE!</v>
      </c>
    </row>
    <row r="163" spans="1:9" x14ac:dyDescent="0.55000000000000004">
      <c r="A163" t="s">
        <v>497</v>
      </c>
      <c r="B163" s="2" t="s">
        <v>469</v>
      </c>
      <c r="C163" s="2" t="e">
        <f t="shared" si="43"/>
        <v>#VALUE!</v>
      </c>
      <c r="D163" t="e">
        <f t="shared" si="44"/>
        <v>#VALUE!</v>
      </c>
      <c r="E163" t="e">
        <f t="shared" si="45"/>
        <v>#VALUE!</v>
      </c>
      <c r="F163" t="e">
        <f t="shared" si="46"/>
        <v>#VALUE!</v>
      </c>
      <c r="G163" t="e">
        <f t="shared" si="47"/>
        <v>#VALUE!</v>
      </c>
      <c r="H163" t="e">
        <f t="shared" si="48"/>
        <v>#VALUE!</v>
      </c>
      <c r="I163" t="e">
        <f t="shared" si="49"/>
        <v>#VALUE!</v>
      </c>
    </row>
    <row r="164" spans="1:9" x14ac:dyDescent="0.55000000000000004">
      <c r="A164" t="s">
        <v>498</v>
      </c>
      <c r="B164" s="2" t="s">
        <v>469</v>
      </c>
      <c r="C164" s="2" t="e">
        <f t="shared" si="43"/>
        <v>#VALUE!</v>
      </c>
      <c r="D164" t="e">
        <f t="shared" si="44"/>
        <v>#VALUE!</v>
      </c>
      <c r="E164" t="e">
        <f t="shared" si="45"/>
        <v>#VALUE!</v>
      </c>
      <c r="F164" t="e">
        <f t="shared" si="46"/>
        <v>#VALUE!</v>
      </c>
      <c r="G164" t="e">
        <f t="shared" si="47"/>
        <v>#VALUE!</v>
      </c>
      <c r="H164" t="e">
        <f t="shared" si="48"/>
        <v>#VALUE!</v>
      </c>
      <c r="I164" t="e">
        <f t="shared" si="49"/>
        <v>#VALUE!</v>
      </c>
    </row>
    <row r="165" spans="1:9" x14ac:dyDescent="0.55000000000000004">
      <c r="A165" t="s">
        <v>499</v>
      </c>
      <c r="B165" s="2" t="s">
        <v>469</v>
      </c>
      <c r="C165" s="2" t="e">
        <f t="shared" si="43"/>
        <v>#VALUE!</v>
      </c>
      <c r="D165" t="e">
        <f t="shared" si="44"/>
        <v>#VALUE!</v>
      </c>
      <c r="E165" t="e">
        <f t="shared" si="45"/>
        <v>#VALUE!</v>
      </c>
      <c r="F165" t="e">
        <f t="shared" si="46"/>
        <v>#VALUE!</v>
      </c>
      <c r="G165" t="e">
        <f t="shared" si="47"/>
        <v>#VALUE!</v>
      </c>
      <c r="H165" t="e">
        <f t="shared" si="48"/>
        <v>#VALUE!</v>
      </c>
      <c r="I165" t="e">
        <f t="shared" si="49"/>
        <v>#VALUE!</v>
      </c>
    </row>
    <row r="166" spans="1:9" x14ac:dyDescent="0.55000000000000004">
      <c r="A166" t="s">
        <v>500</v>
      </c>
      <c r="B166" s="2" t="s">
        <v>469</v>
      </c>
      <c r="C166" s="2" t="e">
        <f t="shared" si="43"/>
        <v>#VALUE!</v>
      </c>
      <c r="D166" t="e">
        <f t="shared" si="44"/>
        <v>#VALUE!</v>
      </c>
      <c r="E166" t="e">
        <f t="shared" si="45"/>
        <v>#VALUE!</v>
      </c>
      <c r="F166" t="e">
        <f t="shared" si="46"/>
        <v>#VALUE!</v>
      </c>
      <c r="G166" t="e">
        <f t="shared" si="47"/>
        <v>#VALUE!</v>
      </c>
      <c r="H166" t="e">
        <f t="shared" si="48"/>
        <v>#VALUE!</v>
      </c>
      <c r="I166" t="e">
        <f t="shared" si="49"/>
        <v>#VALUE!</v>
      </c>
    </row>
    <row r="167" spans="1:9" x14ac:dyDescent="0.55000000000000004">
      <c r="A167" t="s">
        <v>501</v>
      </c>
      <c r="B167" s="2" t="s">
        <v>469</v>
      </c>
      <c r="C167" s="2" t="e">
        <f t="shared" si="43"/>
        <v>#VALUE!</v>
      </c>
      <c r="D167" t="e">
        <f t="shared" si="44"/>
        <v>#VALUE!</v>
      </c>
      <c r="E167" t="e">
        <f t="shared" si="45"/>
        <v>#VALUE!</v>
      </c>
      <c r="F167" t="e">
        <f t="shared" si="46"/>
        <v>#VALUE!</v>
      </c>
      <c r="G167" t="e">
        <f t="shared" si="47"/>
        <v>#VALUE!</v>
      </c>
      <c r="H167" t="e">
        <f t="shared" si="48"/>
        <v>#VALUE!</v>
      </c>
      <c r="I167" t="e">
        <f t="shared" si="49"/>
        <v>#VALUE!</v>
      </c>
    </row>
    <row r="168" spans="1:9" x14ac:dyDescent="0.55000000000000004">
      <c r="A168" t="s">
        <v>502</v>
      </c>
      <c r="B168" s="2" t="s">
        <v>469</v>
      </c>
      <c r="C168" s="2" t="e">
        <f t="shared" si="43"/>
        <v>#VALUE!</v>
      </c>
      <c r="D168" t="e">
        <f t="shared" si="44"/>
        <v>#VALUE!</v>
      </c>
      <c r="E168" t="e">
        <f t="shared" si="45"/>
        <v>#VALUE!</v>
      </c>
      <c r="F168" t="e">
        <f t="shared" si="46"/>
        <v>#VALUE!</v>
      </c>
      <c r="G168" t="e">
        <f t="shared" si="47"/>
        <v>#VALUE!</v>
      </c>
      <c r="H168" t="e">
        <f t="shared" si="48"/>
        <v>#VALUE!</v>
      </c>
      <c r="I168" t="e">
        <f t="shared" si="49"/>
        <v>#VALUE!</v>
      </c>
    </row>
    <row r="169" spans="1:9" x14ac:dyDescent="0.55000000000000004">
      <c r="A169" t="s">
        <v>503</v>
      </c>
      <c r="B169" s="2" t="s">
        <v>469</v>
      </c>
      <c r="C169" s="2" t="e">
        <f t="shared" si="43"/>
        <v>#VALUE!</v>
      </c>
      <c r="D169" t="e">
        <f t="shared" si="44"/>
        <v>#VALUE!</v>
      </c>
      <c r="E169" t="e">
        <f t="shared" si="45"/>
        <v>#VALUE!</v>
      </c>
      <c r="F169" t="e">
        <f t="shared" si="46"/>
        <v>#VALUE!</v>
      </c>
      <c r="G169" t="e">
        <f t="shared" si="47"/>
        <v>#VALUE!</v>
      </c>
      <c r="H169" t="e">
        <f t="shared" si="48"/>
        <v>#VALUE!</v>
      </c>
      <c r="I169" t="e">
        <f t="shared" si="49"/>
        <v>#VALUE!</v>
      </c>
    </row>
  </sheetData>
  <autoFilter ref="A1:N169" xr:uid="{0514F46D-72B1-4EFC-B4E1-BA228E280D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96AC-35B6-4F77-9C4C-DFB01EDAB0F4}">
  <dimension ref="A1:L171"/>
  <sheetViews>
    <sheetView workbookViewId="0">
      <selection activeCell="J2" sqref="J2"/>
    </sheetView>
  </sheetViews>
  <sheetFormatPr defaultRowHeight="15.7" x14ac:dyDescent="0.55000000000000004"/>
  <cols>
    <col min="2" max="2" width="30.41796875" style="2" customWidth="1"/>
    <col min="5" max="5" width="10" bestFit="1" customWidth="1"/>
    <col min="6" max="6" width="9.5234375" bestFit="1" customWidth="1"/>
  </cols>
  <sheetData>
    <row r="1" spans="1:12" x14ac:dyDescent="0.55000000000000004">
      <c r="A1" t="s">
        <v>1</v>
      </c>
      <c r="B1" s="2" t="s">
        <v>185</v>
      </c>
      <c r="C1" t="s">
        <v>466</v>
      </c>
      <c r="D1" t="s">
        <v>467</v>
      </c>
      <c r="E1" t="s">
        <v>464</v>
      </c>
      <c r="F1" t="s">
        <v>465</v>
      </c>
      <c r="G1" t="s">
        <v>5</v>
      </c>
      <c r="H1" t="s">
        <v>2</v>
      </c>
      <c r="J1" t="s">
        <v>468</v>
      </c>
    </row>
    <row r="2" spans="1:12" x14ac:dyDescent="0.55000000000000004">
      <c r="A2">
        <v>2</v>
      </c>
      <c r="B2" s="2">
        <v>1</v>
      </c>
      <c r="C2">
        <f>B2*(B2*A2+2)</f>
        <v>4</v>
      </c>
      <c r="D2">
        <f>B2*(B2*A2-2)</f>
        <v>0</v>
      </c>
      <c r="E2">
        <f>SQRT(C2)-_xlfn.FLOOR.MATH(SQRT(C2))</f>
        <v>0</v>
      </c>
      <c r="F2">
        <f>SQRT(D2)-_xlfn.FLOOR.MATH(SQRT(D2))</f>
        <v>0</v>
      </c>
      <c r="G2">
        <f>IF(F2=0,B2*A2-1,B2*A2+1)</f>
        <v>1</v>
      </c>
      <c r="H2">
        <f>SQRT((G2*G2-1)/A2)</f>
        <v>0</v>
      </c>
    </row>
    <row r="3" spans="1:12" x14ac:dyDescent="0.55000000000000004">
      <c r="A3">
        <v>3</v>
      </c>
      <c r="B3" s="2">
        <v>1</v>
      </c>
      <c r="C3">
        <f t="shared" ref="C3:C8" si="0">B3*(B3*A3+2)</f>
        <v>5</v>
      </c>
      <c r="D3">
        <f t="shared" ref="D3:D8" si="1">B3*(B3*A3-2)</f>
        <v>1</v>
      </c>
      <c r="E3">
        <f t="shared" ref="E3:E8" si="2">SQRT(C3)-_xlfn.FLOOR.MATH(SQRT(C3))</f>
        <v>0.23606797749978981</v>
      </c>
      <c r="F3">
        <f t="shared" ref="F3:F8" si="3">SQRT(D3)-_xlfn.FLOOR.MATH(SQRT(D3))</f>
        <v>0</v>
      </c>
      <c r="G3">
        <f t="shared" ref="G3:G8" si="4">IF(F3=0,B3*A3-1,B3*A3+1)</f>
        <v>2</v>
      </c>
      <c r="H3">
        <f t="shared" ref="H3:H8" si="5">SQRT((G3*G3-1)/A3)</f>
        <v>1</v>
      </c>
    </row>
    <row r="4" spans="1:12" x14ac:dyDescent="0.55000000000000004">
      <c r="A4">
        <v>5</v>
      </c>
      <c r="B4" s="2">
        <v>2</v>
      </c>
      <c r="C4">
        <f t="shared" si="0"/>
        <v>24</v>
      </c>
      <c r="D4">
        <f t="shared" si="1"/>
        <v>16</v>
      </c>
      <c r="E4">
        <f t="shared" si="2"/>
        <v>0.89897948556635576</v>
      </c>
      <c r="F4">
        <f t="shared" si="3"/>
        <v>0</v>
      </c>
      <c r="G4">
        <f t="shared" si="4"/>
        <v>9</v>
      </c>
      <c r="H4">
        <f>SQRT((G4*G4-1)/A4)</f>
        <v>4</v>
      </c>
    </row>
    <row r="5" spans="1:12" x14ac:dyDescent="0.55000000000000004">
      <c r="A5">
        <v>7</v>
      </c>
      <c r="B5" s="2">
        <v>1</v>
      </c>
      <c r="C5">
        <f t="shared" si="0"/>
        <v>9</v>
      </c>
      <c r="D5">
        <f t="shared" si="1"/>
        <v>5</v>
      </c>
      <c r="E5">
        <f t="shared" si="2"/>
        <v>0</v>
      </c>
      <c r="F5">
        <f t="shared" si="3"/>
        <v>0.23606797749978981</v>
      </c>
      <c r="G5">
        <f t="shared" si="4"/>
        <v>8</v>
      </c>
      <c r="H5">
        <f t="shared" si="5"/>
        <v>3</v>
      </c>
    </row>
    <row r="6" spans="1:12" x14ac:dyDescent="0.55000000000000004">
      <c r="A6">
        <v>11</v>
      </c>
      <c r="B6" s="2">
        <v>1</v>
      </c>
      <c r="C6">
        <f t="shared" si="0"/>
        <v>13</v>
      </c>
      <c r="D6">
        <f t="shared" si="1"/>
        <v>9</v>
      </c>
      <c r="E6">
        <f t="shared" si="2"/>
        <v>0.60555127546398912</v>
      </c>
      <c r="F6">
        <f t="shared" si="3"/>
        <v>0</v>
      </c>
      <c r="G6">
        <f t="shared" si="4"/>
        <v>10</v>
      </c>
      <c r="H6">
        <f t="shared" si="5"/>
        <v>3</v>
      </c>
    </row>
    <row r="7" spans="1:12" x14ac:dyDescent="0.55000000000000004">
      <c r="A7">
        <v>13</v>
      </c>
      <c r="B7" s="2">
        <v>50</v>
      </c>
      <c r="C7">
        <f t="shared" si="0"/>
        <v>32600</v>
      </c>
      <c r="D7">
        <f t="shared" si="1"/>
        <v>32400</v>
      </c>
      <c r="E7">
        <f t="shared" si="2"/>
        <v>0.55470085267788249</v>
      </c>
      <c r="F7">
        <f t="shared" si="3"/>
        <v>0</v>
      </c>
      <c r="G7">
        <f t="shared" si="4"/>
        <v>649</v>
      </c>
      <c r="H7">
        <f t="shared" si="5"/>
        <v>180</v>
      </c>
    </row>
    <row r="8" spans="1:12" x14ac:dyDescent="0.55000000000000004">
      <c r="A8">
        <v>17</v>
      </c>
      <c r="B8" s="2">
        <v>2</v>
      </c>
      <c r="C8">
        <f t="shared" si="0"/>
        <v>72</v>
      </c>
      <c r="D8">
        <f t="shared" si="1"/>
        <v>64</v>
      </c>
      <c r="E8">
        <f t="shared" si="2"/>
        <v>0.48528137423856954</v>
      </c>
      <c r="F8">
        <f t="shared" si="3"/>
        <v>0</v>
      </c>
      <c r="G8">
        <f t="shared" si="4"/>
        <v>33</v>
      </c>
      <c r="H8">
        <f t="shared" si="5"/>
        <v>8</v>
      </c>
    </row>
    <row r="9" spans="1:12" x14ac:dyDescent="0.55000000000000004">
      <c r="A9">
        <v>17</v>
      </c>
      <c r="B9" s="2">
        <v>2</v>
      </c>
      <c r="C9">
        <f t="shared" ref="C9:C23" si="6">B9*(B9*A9+2)</f>
        <v>72</v>
      </c>
      <c r="D9">
        <f t="shared" ref="D9:D23" si="7">B9*(B9*A9-2)</f>
        <v>64</v>
      </c>
      <c r="E9">
        <f t="shared" ref="E9:E23" si="8">SQRT(C9)-_xlfn.FLOOR.MATH(SQRT(C9))</f>
        <v>0.48528137423856954</v>
      </c>
      <c r="F9">
        <f t="shared" ref="F9:F23" si="9">SQRT(D9)-_xlfn.FLOOR.MATH(SQRT(D9))</f>
        <v>0</v>
      </c>
      <c r="G9">
        <f t="shared" ref="G9:G23" si="10">IF(F9=0,B9*A9-1,B9*A9+1)</f>
        <v>33</v>
      </c>
      <c r="H9">
        <f t="shared" ref="H9:H23" si="11">SQRT((G9*G9-1)/A9)</f>
        <v>8</v>
      </c>
      <c r="K9">
        <v>33</v>
      </c>
      <c r="L9">
        <f>(K9*K9-1)/17</f>
        <v>64</v>
      </c>
    </row>
    <row r="10" spans="1:12" x14ac:dyDescent="0.55000000000000004">
      <c r="A10">
        <v>19</v>
      </c>
      <c r="B10" s="2">
        <v>9</v>
      </c>
      <c r="C10">
        <f t="shared" si="6"/>
        <v>1557</v>
      </c>
      <c r="D10">
        <f t="shared" si="7"/>
        <v>1521</v>
      </c>
      <c r="E10">
        <f t="shared" si="8"/>
        <v>0.45883931389771959</v>
      </c>
      <c r="F10">
        <f t="shared" si="9"/>
        <v>0</v>
      </c>
      <c r="G10">
        <f t="shared" si="10"/>
        <v>170</v>
      </c>
      <c r="H10">
        <f t="shared" si="11"/>
        <v>39</v>
      </c>
      <c r="K10">
        <v>35</v>
      </c>
      <c r="L10">
        <f>(K10*K10-1)/17</f>
        <v>72</v>
      </c>
    </row>
    <row r="11" spans="1:12" x14ac:dyDescent="0.55000000000000004">
      <c r="A11">
        <v>23</v>
      </c>
      <c r="B11" s="2">
        <v>1</v>
      </c>
      <c r="C11">
        <f t="shared" si="6"/>
        <v>25</v>
      </c>
      <c r="D11">
        <f t="shared" si="7"/>
        <v>21</v>
      </c>
      <c r="E11">
        <f t="shared" si="8"/>
        <v>0</v>
      </c>
      <c r="F11">
        <f t="shared" si="9"/>
        <v>0.58257569495583983</v>
      </c>
      <c r="G11">
        <f t="shared" si="10"/>
        <v>24</v>
      </c>
      <c r="H11">
        <f t="shared" si="11"/>
        <v>5</v>
      </c>
    </row>
    <row r="12" spans="1:12" x14ac:dyDescent="0.55000000000000004">
      <c r="A12">
        <v>29</v>
      </c>
      <c r="B12" s="2">
        <v>338</v>
      </c>
      <c r="C12">
        <f t="shared" si="6"/>
        <v>3313752</v>
      </c>
      <c r="D12">
        <f t="shared" si="7"/>
        <v>3312400</v>
      </c>
      <c r="E12">
        <f t="shared" si="8"/>
        <v>0.37139067828684347</v>
      </c>
      <c r="F12">
        <f t="shared" si="9"/>
        <v>0</v>
      </c>
      <c r="G12">
        <f t="shared" si="10"/>
        <v>9801</v>
      </c>
      <c r="H12">
        <f t="shared" si="11"/>
        <v>1820</v>
      </c>
    </row>
    <row r="13" spans="1:12" x14ac:dyDescent="0.55000000000000004">
      <c r="A13">
        <v>31</v>
      </c>
      <c r="B13" s="2">
        <v>49</v>
      </c>
      <c r="C13">
        <f t="shared" si="6"/>
        <v>74529</v>
      </c>
      <c r="D13">
        <f t="shared" si="7"/>
        <v>74333</v>
      </c>
      <c r="E13">
        <f t="shared" si="8"/>
        <v>0</v>
      </c>
      <c r="F13">
        <f t="shared" si="9"/>
        <v>0.64078931810627182</v>
      </c>
      <c r="G13">
        <f t="shared" si="10"/>
        <v>1520</v>
      </c>
      <c r="H13">
        <f t="shared" si="11"/>
        <v>273</v>
      </c>
    </row>
    <row r="14" spans="1:12" x14ac:dyDescent="0.55000000000000004">
      <c r="A14">
        <v>37</v>
      </c>
      <c r="B14" s="2">
        <v>2</v>
      </c>
      <c r="C14">
        <f t="shared" si="6"/>
        <v>152</v>
      </c>
      <c r="D14">
        <f t="shared" si="7"/>
        <v>144</v>
      </c>
      <c r="E14">
        <f t="shared" si="8"/>
        <v>0.32882800593795203</v>
      </c>
      <c r="F14">
        <f t="shared" si="9"/>
        <v>0</v>
      </c>
      <c r="G14">
        <f t="shared" si="10"/>
        <v>73</v>
      </c>
      <c r="H14">
        <f t="shared" si="11"/>
        <v>12</v>
      </c>
    </row>
    <row r="15" spans="1:12" x14ac:dyDescent="0.55000000000000004">
      <c r="A15">
        <v>41</v>
      </c>
      <c r="B15" s="2">
        <v>50</v>
      </c>
      <c r="C15">
        <f t="shared" si="6"/>
        <v>102600</v>
      </c>
      <c r="D15">
        <f t="shared" si="7"/>
        <v>102400</v>
      </c>
      <c r="E15">
        <f t="shared" si="8"/>
        <v>0.31234756093931537</v>
      </c>
      <c r="F15">
        <f t="shared" si="9"/>
        <v>0</v>
      </c>
      <c r="G15">
        <f t="shared" si="10"/>
        <v>2049</v>
      </c>
      <c r="H15">
        <f t="shared" si="11"/>
        <v>320</v>
      </c>
    </row>
    <row r="16" spans="1:12" x14ac:dyDescent="0.55000000000000004">
      <c r="A16">
        <v>43</v>
      </c>
      <c r="B16" s="2">
        <v>81</v>
      </c>
      <c r="C16">
        <f t="shared" si="6"/>
        <v>282285</v>
      </c>
      <c r="D16">
        <f t="shared" si="7"/>
        <v>281961</v>
      </c>
      <c r="E16">
        <f t="shared" si="8"/>
        <v>0.30499715323594501</v>
      </c>
      <c r="F16">
        <f t="shared" si="9"/>
        <v>0</v>
      </c>
      <c r="G16">
        <f t="shared" si="10"/>
        <v>3482</v>
      </c>
      <c r="H16">
        <f t="shared" si="11"/>
        <v>531</v>
      </c>
    </row>
    <row r="17" spans="1:8" x14ac:dyDescent="0.55000000000000004">
      <c r="A17">
        <v>47</v>
      </c>
      <c r="B17" s="2">
        <v>1</v>
      </c>
      <c r="C17">
        <f t="shared" si="6"/>
        <v>49</v>
      </c>
      <c r="D17">
        <f t="shared" si="7"/>
        <v>45</v>
      </c>
      <c r="E17">
        <f t="shared" si="8"/>
        <v>0</v>
      </c>
      <c r="F17">
        <f t="shared" si="9"/>
        <v>0.70820393249936942</v>
      </c>
      <c r="G17">
        <f t="shared" si="10"/>
        <v>48</v>
      </c>
      <c r="H17">
        <f t="shared" si="11"/>
        <v>7</v>
      </c>
    </row>
    <row r="18" spans="1:8" x14ac:dyDescent="0.55000000000000004">
      <c r="A18">
        <v>53</v>
      </c>
      <c r="B18" s="2">
        <v>1250</v>
      </c>
      <c r="C18">
        <f t="shared" si="6"/>
        <v>82815000</v>
      </c>
      <c r="D18">
        <f t="shared" si="7"/>
        <v>82810000</v>
      </c>
      <c r="E18">
        <f t="shared" si="8"/>
        <v>0.27472112792929693</v>
      </c>
      <c r="F18">
        <f t="shared" si="9"/>
        <v>0</v>
      </c>
      <c r="G18">
        <f t="shared" si="10"/>
        <v>66249</v>
      </c>
      <c r="H18">
        <f t="shared" si="11"/>
        <v>9100</v>
      </c>
    </row>
    <row r="19" spans="1:8" x14ac:dyDescent="0.55000000000000004">
      <c r="A19">
        <v>59</v>
      </c>
      <c r="B19" s="2">
        <v>9</v>
      </c>
      <c r="C19">
        <f t="shared" si="6"/>
        <v>4797</v>
      </c>
      <c r="D19">
        <f t="shared" si="7"/>
        <v>4761</v>
      </c>
      <c r="E19">
        <f t="shared" si="8"/>
        <v>0.26037828369116767</v>
      </c>
      <c r="F19">
        <f t="shared" si="9"/>
        <v>0</v>
      </c>
      <c r="G19">
        <f t="shared" si="10"/>
        <v>530</v>
      </c>
      <c r="H19">
        <f t="shared" si="11"/>
        <v>69</v>
      </c>
    </row>
    <row r="20" spans="1:8" x14ac:dyDescent="0.55000000000000004">
      <c r="A20">
        <v>61</v>
      </c>
      <c r="B20" s="2">
        <v>1936</v>
      </c>
      <c r="C20">
        <f t="shared" si="6"/>
        <v>228637728</v>
      </c>
      <c r="D20">
        <f t="shared" si="7"/>
        <v>228629984</v>
      </c>
      <c r="E20">
        <f t="shared" si="8"/>
        <v>0.77140889313159278</v>
      </c>
      <c r="F20">
        <f t="shared" si="9"/>
        <v>0.51533513325739477</v>
      </c>
      <c r="G20">
        <f t="shared" si="10"/>
        <v>118097</v>
      </c>
      <c r="H20">
        <f t="shared" si="11"/>
        <v>15120.771408893132</v>
      </c>
    </row>
    <row r="21" spans="1:8" x14ac:dyDescent="0.55000000000000004">
      <c r="A21">
        <v>67</v>
      </c>
      <c r="B21" s="2">
        <v>729</v>
      </c>
      <c r="C21">
        <f t="shared" si="6"/>
        <v>35608005</v>
      </c>
      <c r="D21">
        <f t="shared" si="7"/>
        <v>35605089</v>
      </c>
      <c r="E21">
        <f t="shared" si="8"/>
        <v>0.24433888876410492</v>
      </c>
      <c r="F21">
        <f t="shared" si="9"/>
        <v>0</v>
      </c>
      <c r="G21">
        <f t="shared" si="10"/>
        <v>48842</v>
      </c>
      <c r="H21">
        <f t="shared" si="11"/>
        <v>5967</v>
      </c>
    </row>
    <row r="22" spans="1:8" x14ac:dyDescent="0.55000000000000004">
      <c r="A22">
        <v>71</v>
      </c>
      <c r="B22" s="2">
        <v>49</v>
      </c>
      <c r="C22">
        <f t="shared" si="6"/>
        <v>170569</v>
      </c>
      <c r="D22">
        <f t="shared" si="7"/>
        <v>170373</v>
      </c>
      <c r="E22">
        <f t="shared" si="8"/>
        <v>0</v>
      </c>
      <c r="F22">
        <f t="shared" si="9"/>
        <v>0.76264365855593041</v>
      </c>
      <c r="G22">
        <f t="shared" si="10"/>
        <v>3480</v>
      </c>
      <c r="H22">
        <f t="shared" si="11"/>
        <v>413</v>
      </c>
    </row>
    <row r="23" spans="1:8" x14ac:dyDescent="0.55000000000000004">
      <c r="A23">
        <v>73</v>
      </c>
      <c r="B23" s="2">
        <v>576</v>
      </c>
      <c r="C23">
        <f t="shared" si="6"/>
        <v>24220800</v>
      </c>
      <c r="D23">
        <f t="shared" si="7"/>
        <v>24218496</v>
      </c>
      <c r="E23">
        <f t="shared" si="8"/>
        <v>0.46319705837049696</v>
      </c>
      <c r="F23">
        <f t="shared" si="9"/>
        <v>0.22911476391254837</v>
      </c>
      <c r="G23">
        <f t="shared" si="10"/>
        <v>42049</v>
      </c>
      <c r="H23">
        <f t="shared" si="11"/>
        <v>4921.4631970583705</v>
      </c>
    </row>
    <row r="24" spans="1:8" x14ac:dyDescent="0.55000000000000004">
      <c r="A24">
        <v>79</v>
      </c>
      <c r="B24" s="2">
        <v>1</v>
      </c>
      <c r="C24">
        <f t="shared" ref="C24:C87" si="12">B24*(B24*A24+2)</f>
        <v>81</v>
      </c>
      <c r="D24">
        <f t="shared" ref="D24:D87" si="13">B24*(B24*A24-2)</f>
        <v>77</v>
      </c>
      <c r="E24">
        <f t="shared" ref="E24:E87" si="14">SQRT(C24)-_xlfn.FLOOR.MATH(SQRT(C24))</f>
        <v>0</v>
      </c>
      <c r="F24">
        <f t="shared" ref="F24:F87" si="15">SQRT(D24)-_xlfn.FLOOR.MATH(SQRT(D24))</f>
        <v>0.77496438739212259</v>
      </c>
      <c r="G24">
        <f t="shared" ref="G24:G87" si="16">IF(F24=0,B24*A24-1,B24*A24+1)</f>
        <v>80</v>
      </c>
      <c r="H24">
        <f t="shared" ref="H24:H87" si="17">SQRT((G24*G24-1)/A24)</f>
        <v>9</v>
      </c>
    </row>
    <row r="25" spans="1:8" x14ac:dyDescent="0.55000000000000004">
      <c r="A25">
        <v>83</v>
      </c>
      <c r="B25" s="2">
        <v>1</v>
      </c>
      <c r="C25">
        <f t="shared" si="12"/>
        <v>85</v>
      </c>
      <c r="D25">
        <f t="shared" si="13"/>
        <v>81</v>
      </c>
      <c r="E25">
        <f t="shared" si="14"/>
        <v>0.21954445729288707</v>
      </c>
      <c r="F25">
        <f t="shared" si="15"/>
        <v>0</v>
      </c>
      <c r="G25">
        <f t="shared" si="16"/>
        <v>82</v>
      </c>
      <c r="H25">
        <f t="shared" si="17"/>
        <v>9</v>
      </c>
    </row>
    <row r="26" spans="1:8" x14ac:dyDescent="0.55000000000000004">
      <c r="A26">
        <v>89</v>
      </c>
      <c r="B26" s="2">
        <v>5618</v>
      </c>
      <c r="C26">
        <f t="shared" si="12"/>
        <v>2809022472</v>
      </c>
      <c r="D26">
        <f t="shared" si="13"/>
        <v>2809000000</v>
      </c>
      <c r="E26">
        <f t="shared" si="14"/>
        <v>0.21199957600038033</v>
      </c>
      <c r="F26">
        <f t="shared" si="15"/>
        <v>0</v>
      </c>
      <c r="G26">
        <f t="shared" si="16"/>
        <v>500001</v>
      </c>
      <c r="H26">
        <f t="shared" si="17"/>
        <v>53000</v>
      </c>
    </row>
    <row r="27" spans="1:8" x14ac:dyDescent="0.55000000000000004">
      <c r="A27">
        <v>97</v>
      </c>
      <c r="B27" s="2">
        <v>784</v>
      </c>
      <c r="C27">
        <f t="shared" si="12"/>
        <v>59623200</v>
      </c>
      <c r="D27">
        <f t="shared" si="13"/>
        <v>59620064</v>
      </c>
      <c r="E27">
        <f t="shared" si="14"/>
        <v>0.6060505570985697</v>
      </c>
      <c r="F27">
        <f t="shared" si="15"/>
        <v>0.4029813240549629</v>
      </c>
      <c r="G27">
        <f t="shared" si="16"/>
        <v>76049</v>
      </c>
      <c r="H27">
        <f t="shared" si="17"/>
        <v>7721.6060505570986</v>
      </c>
    </row>
    <row r="28" spans="1:8" x14ac:dyDescent="0.55000000000000004">
      <c r="A28">
        <v>101</v>
      </c>
      <c r="B28" s="2">
        <v>2</v>
      </c>
      <c r="C28">
        <f t="shared" si="12"/>
        <v>408</v>
      </c>
      <c r="D28">
        <f t="shared" si="13"/>
        <v>400</v>
      </c>
      <c r="E28">
        <f t="shared" si="14"/>
        <v>0.19900987672415482</v>
      </c>
      <c r="F28">
        <f t="shared" si="15"/>
        <v>0</v>
      </c>
      <c r="G28">
        <f t="shared" si="16"/>
        <v>201</v>
      </c>
      <c r="H28">
        <f t="shared" si="17"/>
        <v>20</v>
      </c>
    </row>
    <row r="29" spans="1:8" x14ac:dyDescent="0.55000000000000004">
      <c r="A29">
        <v>103</v>
      </c>
      <c r="B29" s="2">
        <v>2209</v>
      </c>
      <c r="C29">
        <f t="shared" si="12"/>
        <v>502611561</v>
      </c>
      <c r="D29">
        <f t="shared" si="13"/>
        <v>502602725</v>
      </c>
      <c r="E29">
        <f t="shared" si="14"/>
        <v>0</v>
      </c>
      <c r="F29">
        <f t="shared" si="15"/>
        <v>0.8029341443652811</v>
      </c>
      <c r="G29">
        <f t="shared" si="16"/>
        <v>227528</v>
      </c>
      <c r="H29">
        <f t="shared" si="17"/>
        <v>22419</v>
      </c>
    </row>
    <row r="30" spans="1:8" x14ac:dyDescent="0.55000000000000004">
      <c r="A30">
        <v>107</v>
      </c>
      <c r="B30" s="2">
        <v>9</v>
      </c>
      <c r="C30">
        <f t="shared" si="12"/>
        <v>8685</v>
      </c>
      <c r="D30">
        <f t="shared" si="13"/>
        <v>8649</v>
      </c>
      <c r="E30">
        <f t="shared" si="14"/>
        <v>0.19334740205439971</v>
      </c>
      <c r="F30">
        <f t="shared" si="15"/>
        <v>0</v>
      </c>
      <c r="G30">
        <f t="shared" si="16"/>
        <v>962</v>
      </c>
      <c r="H30">
        <f t="shared" si="17"/>
        <v>93</v>
      </c>
    </row>
    <row r="31" spans="1:8" x14ac:dyDescent="0.55000000000000004">
      <c r="A31">
        <v>109</v>
      </c>
      <c r="B31" s="2">
        <v>291316624</v>
      </c>
      <c r="C31">
        <f t="shared" si="12"/>
        <v>9.2503259212271882E+18</v>
      </c>
      <c r="D31">
        <f t="shared" si="13"/>
        <v>9.2503259200619213E+18</v>
      </c>
      <c r="E31">
        <f t="shared" si="14"/>
        <v>0.79683017730712891</v>
      </c>
      <c r="F31">
        <f t="shared" si="15"/>
        <v>0.60526466369628906</v>
      </c>
      <c r="G31">
        <f t="shared" si="16"/>
        <v>31753512017</v>
      </c>
      <c r="H31">
        <f t="shared" si="17"/>
        <v>3041434845.7968297</v>
      </c>
    </row>
    <row r="32" spans="1:8" x14ac:dyDescent="0.55000000000000004">
      <c r="A32">
        <v>113</v>
      </c>
      <c r="B32" s="2">
        <v>3600</v>
      </c>
      <c r="C32">
        <f t="shared" si="12"/>
        <v>1464487200</v>
      </c>
      <c r="D32">
        <f t="shared" si="13"/>
        <v>1464472800</v>
      </c>
      <c r="E32">
        <f t="shared" si="14"/>
        <v>0.61899781595275272</v>
      </c>
      <c r="F32">
        <f t="shared" si="15"/>
        <v>0.43085364227590617</v>
      </c>
      <c r="G32">
        <f t="shared" si="16"/>
        <v>406801</v>
      </c>
      <c r="H32">
        <f t="shared" si="17"/>
        <v>38268.618997815953</v>
      </c>
    </row>
    <row r="33" spans="1:8" x14ac:dyDescent="0.55000000000000004">
      <c r="A33">
        <v>127</v>
      </c>
      <c r="B33" s="2">
        <v>1024</v>
      </c>
      <c r="C33">
        <f t="shared" si="12"/>
        <v>133171200</v>
      </c>
      <c r="D33">
        <f t="shared" si="13"/>
        <v>133167104</v>
      </c>
      <c r="E33">
        <f t="shared" si="14"/>
        <v>0.9826689644560247</v>
      </c>
      <c r="F33">
        <f t="shared" si="15"/>
        <v>0.80519766256657022</v>
      </c>
      <c r="G33">
        <f t="shared" si="16"/>
        <v>130049</v>
      </c>
      <c r="H33">
        <f t="shared" si="17"/>
        <v>11539.982668964456</v>
      </c>
    </row>
    <row r="34" spans="1:8" x14ac:dyDescent="0.55000000000000004">
      <c r="A34">
        <v>131</v>
      </c>
      <c r="B34" s="2">
        <v>81</v>
      </c>
      <c r="C34">
        <f t="shared" si="12"/>
        <v>859653</v>
      </c>
      <c r="D34">
        <f t="shared" si="13"/>
        <v>859329</v>
      </c>
      <c r="E34">
        <f t="shared" si="14"/>
        <v>0.17474081210821168</v>
      </c>
      <c r="F34">
        <f t="shared" si="15"/>
        <v>0</v>
      </c>
      <c r="G34">
        <f t="shared" si="16"/>
        <v>10610</v>
      </c>
      <c r="H34">
        <f t="shared" si="17"/>
        <v>927</v>
      </c>
    </row>
    <row r="35" spans="1:8" x14ac:dyDescent="0.55000000000000004">
      <c r="A35">
        <v>137</v>
      </c>
      <c r="B35" s="2">
        <v>228847424400</v>
      </c>
      <c r="C35">
        <f t="shared" si="12"/>
        <v>7.1748466806688367E+24</v>
      </c>
      <c r="D35">
        <f t="shared" si="13"/>
        <v>7.1748466806679208E+24</v>
      </c>
      <c r="E35">
        <f t="shared" si="14"/>
        <v>0.181640625</v>
      </c>
      <c r="F35">
        <f t="shared" si="15"/>
        <v>1.07421875E-2</v>
      </c>
      <c r="G35">
        <f t="shared" si="16"/>
        <v>31352097142801</v>
      </c>
      <c r="H35">
        <f t="shared" si="17"/>
        <v>2678590427943.1816</v>
      </c>
    </row>
    <row r="36" spans="1:8" x14ac:dyDescent="0.55000000000000004">
      <c r="A36">
        <v>139</v>
      </c>
      <c r="B36" s="2">
        <v>90000</v>
      </c>
      <c r="C36">
        <f t="shared" si="12"/>
        <v>1125900180000</v>
      </c>
      <c r="D36">
        <f t="shared" si="13"/>
        <v>1125899820000</v>
      </c>
      <c r="E36">
        <f t="shared" si="14"/>
        <v>0.43584853317588568</v>
      </c>
      <c r="F36">
        <f t="shared" si="15"/>
        <v>0.26621074718423188</v>
      </c>
      <c r="G36">
        <f t="shared" si="16"/>
        <v>12510001</v>
      </c>
      <c r="H36">
        <f t="shared" si="17"/>
        <v>1061084.4358485332</v>
      </c>
    </row>
    <row r="37" spans="1:8" x14ac:dyDescent="0.55000000000000004">
      <c r="A37">
        <v>149</v>
      </c>
      <c r="B37" s="2">
        <v>173166050</v>
      </c>
      <c r="C37">
        <f t="shared" si="12"/>
        <v>4.4679856503641047E+18</v>
      </c>
      <c r="D37">
        <f t="shared" si="13"/>
        <v>4.4679856496714404E+18</v>
      </c>
      <c r="E37">
        <f t="shared" si="14"/>
        <v>0.16384649276733398</v>
      </c>
      <c r="F37">
        <f t="shared" si="15"/>
        <v>0</v>
      </c>
      <c r="G37">
        <f t="shared" si="16"/>
        <v>25801741449</v>
      </c>
      <c r="H37">
        <f t="shared" si="17"/>
        <v>2113761020</v>
      </c>
    </row>
    <row r="38" spans="1:8" x14ac:dyDescent="0.55000000000000004">
      <c r="A38">
        <v>151</v>
      </c>
      <c r="B38" s="2">
        <v>11444689</v>
      </c>
      <c r="C38">
        <f t="shared" si="12"/>
        <v>1.9778116875204248E+16</v>
      </c>
      <c r="D38">
        <f t="shared" si="13"/>
        <v>1.9778116829425492E+16</v>
      </c>
      <c r="E38">
        <f t="shared" si="14"/>
        <v>0</v>
      </c>
      <c r="F38">
        <f t="shared" si="15"/>
        <v>0.83724230527877808</v>
      </c>
      <c r="G38">
        <f t="shared" si="16"/>
        <v>1728148040</v>
      </c>
      <c r="H38">
        <f t="shared" si="17"/>
        <v>140634693</v>
      </c>
    </row>
    <row r="39" spans="1:8" x14ac:dyDescent="0.55000000000000004">
      <c r="A39">
        <v>157</v>
      </c>
      <c r="B39" s="2">
        <v>1962490000</v>
      </c>
      <c r="C39">
        <f t="shared" si="12"/>
        <v>6.0466461901962504E+20</v>
      </c>
      <c r="D39">
        <f t="shared" si="13"/>
        <v>6.04664619011775E+20</v>
      </c>
      <c r="E39">
        <f t="shared" si="14"/>
        <v>0.49197006225585938</v>
      </c>
      <c r="F39">
        <f t="shared" si="15"/>
        <v>0.3323516845703125</v>
      </c>
      <c r="G39">
        <f t="shared" si="16"/>
        <v>308110930001</v>
      </c>
      <c r="H39">
        <f t="shared" si="17"/>
        <v>24589929219.49197</v>
      </c>
    </row>
    <row r="40" spans="1:8" x14ac:dyDescent="0.55000000000000004">
      <c r="A40">
        <v>163</v>
      </c>
      <c r="B40" s="2">
        <v>1296</v>
      </c>
      <c r="C40">
        <f t="shared" si="12"/>
        <v>273780000</v>
      </c>
      <c r="D40">
        <f t="shared" si="13"/>
        <v>273774816</v>
      </c>
      <c r="E40">
        <f t="shared" si="14"/>
        <v>0.29867976521200035</v>
      </c>
      <c r="F40">
        <f t="shared" si="15"/>
        <v>0.14202767521419446</v>
      </c>
      <c r="G40">
        <f t="shared" si="16"/>
        <v>211249</v>
      </c>
      <c r="H40">
        <f t="shared" si="17"/>
        <v>16546.298679765212</v>
      </c>
    </row>
    <row r="41" spans="1:8" x14ac:dyDescent="0.55000000000000004">
      <c r="A41">
        <v>167</v>
      </c>
      <c r="B41" s="2">
        <v>1</v>
      </c>
      <c r="C41">
        <f t="shared" si="12"/>
        <v>169</v>
      </c>
      <c r="D41">
        <f t="shared" si="13"/>
        <v>165</v>
      </c>
      <c r="E41">
        <f t="shared" si="14"/>
        <v>0</v>
      </c>
      <c r="F41">
        <f t="shared" si="15"/>
        <v>0.84523257866512935</v>
      </c>
      <c r="G41">
        <f t="shared" si="16"/>
        <v>168</v>
      </c>
      <c r="H41">
        <f t="shared" si="17"/>
        <v>13</v>
      </c>
    </row>
    <row r="42" spans="1:8" x14ac:dyDescent="0.55000000000000004">
      <c r="A42">
        <v>173</v>
      </c>
      <c r="B42" s="2">
        <v>14450</v>
      </c>
      <c r="C42">
        <f t="shared" si="12"/>
        <v>36122861400</v>
      </c>
      <c r="D42">
        <f t="shared" si="13"/>
        <v>36122803600</v>
      </c>
      <c r="E42">
        <f t="shared" si="14"/>
        <v>0.15205718425568193</v>
      </c>
      <c r="F42">
        <f t="shared" si="15"/>
        <v>0</v>
      </c>
      <c r="G42">
        <f t="shared" si="16"/>
        <v>2499849</v>
      </c>
      <c r="H42">
        <f t="shared" si="17"/>
        <v>190060</v>
      </c>
    </row>
    <row r="43" spans="1:8" x14ac:dyDescent="0.55000000000000004">
      <c r="A43">
        <v>179</v>
      </c>
      <c r="B43" s="2">
        <v>23409</v>
      </c>
      <c r="C43">
        <f t="shared" si="12"/>
        <v>98088696117</v>
      </c>
      <c r="D43">
        <f t="shared" si="13"/>
        <v>98088602481</v>
      </c>
      <c r="E43">
        <f t="shared" si="14"/>
        <v>0.14948701852699742</v>
      </c>
      <c r="F43">
        <f t="shared" si="15"/>
        <v>0</v>
      </c>
      <c r="G43">
        <f t="shared" si="16"/>
        <v>4190210</v>
      </c>
      <c r="H43">
        <f t="shared" si="17"/>
        <v>313191</v>
      </c>
    </row>
    <row r="44" spans="1:8" x14ac:dyDescent="0.55000000000000004">
      <c r="A44">
        <v>181</v>
      </c>
      <c r="B44" s="2">
        <v>5776</v>
      </c>
      <c r="C44">
        <f t="shared" si="12"/>
        <v>6038565408</v>
      </c>
      <c r="D44">
        <f t="shared" si="13"/>
        <v>6038542304</v>
      </c>
      <c r="E44">
        <f t="shared" si="14"/>
        <v>0.20682527682220098</v>
      </c>
      <c r="F44">
        <f t="shared" si="15"/>
        <v>5.8166447575786151E-2</v>
      </c>
      <c r="G44">
        <f t="shared" si="16"/>
        <v>1045457</v>
      </c>
      <c r="H44">
        <f t="shared" si="17"/>
        <v>77708.206825276822</v>
      </c>
    </row>
    <row r="45" spans="1:8" x14ac:dyDescent="0.55000000000000004">
      <c r="A45">
        <v>191</v>
      </c>
      <c r="B45" s="2">
        <v>47089</v>
      </c>
      <c r="C45">
        <f t="shared" si="12"/>
        <v>423518513089</v>
      </c>
      <c r="D45">
        <f t="shared" si="13"/>
        <v>423518324733</v>
      </c>
      <c r="E45">
        <f t="shared" si="14"/>
        <v>0</v>
      </c>
      <c r="F45">
        <f t="shared" si="15"/>
        <v>0.85528507898561656</v>
      </c>
      <c r="G45">
        <f t="shared" si="16"/>
        <v>8994000</v>
      </c>
      <c r="H45">
        <f t="shared" si="17"/>
        <v>650783</v>
      </c>
    </row>
    <row r="46" spans="1:8" x14ac:dyDescent="0.55000000000000004">
      <c r="A46">
        <v>193</v>
      </c>
      <c r="B46" s="2">
        <v>128958736</v>
      </c>
      <c r="C46">
        <f t="shared" si="12"/>
        <v>3.209658629266433E+18</v>
      </c>
      <c r="D46">
        <f t="shared" si="13"/>
        <v>3.2096586287505976E+18</v>
      </c>
      <c r="E46">
        <f t="shared" si="14"/>
        <v>0.90222573280334473</v>
      </c>
      <c r="F46">
        <f t="shared" si="15"/>
        <v>0.75826239585876465</v>
      </c>
      <c r="G46">
        <f t="shared" si="16"/>
        <v>24889036049</v>
      </c>
      <c r="H46">
        <f t="shared" si="17"/>
        <v>1791552016.9022257</v>
      </c>
    </row>
    <row r="47" spans="1:8" x14ac:dyDescent="0.55000000000000004">
      <c r="A47">
        <v>197</v>
      </c>
      <c r="B47" s="2">
        <v>2</v>
      </c>
      <c r="C47">
        <f t="shared" si="12"/>
        <v>792</v>
      </c>
      <c r="D47">
        <f t="shared" si="13"/>
        <v>784</v>
      </c>
      <c r="E47">
        <f t="shared" si="14"/>
        <v>0.14249455894057661</v>
      </c>
      <c r="F47">
        <f t="shared" si="15"/>
        <v>0</v>
      </c>
      <c r="G47">
        <f t="shared" si="16"/>
        <v>393</v>
      </c>
      <c r="H47">
        <f t="shared" si="17"/>
        <v>28</v>
      </c>
    </row>
    <row r="48" spans="1:8" x14ac:dyDescent="0.55000000000000004">
      <c r="A48">
        <v>199</v>
      </c>
      <c r="B48" s="2">
        <v>1600</v>
      </c>
      <c r="C48">
        <f t="shared" si="12"/>
        <v>509443200</v>
      </c>
      <c r="D48">
        <f t="shared" si="13"/>
        <v>509436800</v>
      </c>
      <c r="E48">
        <f t="shared" si="14"/>
        <v>0.84845547459553927</v>
      </c>
      <c r="F48">
        <f t="shared" si="15"/>
        <v>0.70667923359360429</v>
      </c>
      <c r="G48">
        <f t="shared" si="16"/>
        <v>318401</v>
      </c>
      <c r="H48">
        <f t="shared" si="17"/>
        <v>22570.848455474596</v>
      </c>
    </row>
    <row r="49" spans="1:8" x14ac:dyDescent="0.55000000000000004">
      <c r="A49">
        <v>211</v>
      </c>
      <c r="B49" s="2">
        <v>1319215041</v>
      </c>
      <c r="C49">
        <f t="shared" si="12"/>
        <v>3.6720927645117173E+20</v>
      </c>
      <c r="D49">
        <f t="shared" si="13"/>
        <v>3.6720927644589484E+20</v>
      </c>
      <c r="E49">
        <f t="shared" si="14"/>
        <v>0.13768768310546875</v>
      </c>
      <c r="F49">
        <f t="shared" si="15"/>
        <v>0</v>
      </c>
      <c r="G49">
        <f t="shared" si="16"/>
        <v>278354373650</v>
      </c>
      <c r="H49">
        <f t="shared" si="17"/>
        <v>19162705353</v>
      </c>
    </row>
    <row r="50" spans="1:8" x14ac:dyDescent="0.55000000000000004">
      <c r="A50">
        <v>223</v>
      </c>
      <c r="B50" s="2">
        <v>1</v>
      </c>
      <c r="C50">
        <f t="shared" si="12"/>
        <v>225</v>
      </c>
      <c r="D50">
        <f t="shared" si="13"/>
        <v>221</v>
      </c>
      <c r="E50">
        <f t="shared" si="14"/>
        <v>0</v>
      </c>
      <c r="F50">
        <f t="shared" si="15"/>
        <v>0.86606874731850603</v>
      </c>
      <c r="G50">
        <f t="shared" si="16"/>
        <v>224</v>
      </c>
      <c r="H50">
        <f t="shared" si="17"/>
        <v>15</v>
      </c>
    </row>
    <row r="51" spans="1:8" x14ac:dyDescent="0.55000000000000004">
      <c r="A51">
        <v>227</v>
      </c>
      <c r="B51" s="2">
        <v>1</v>
      </c>
      <c r="C51">
        <f t="shared" si="12"/>
        <v>229</v>
      </c>
      <c r="D51">
        <f t="shared" si="13"/>
        <v>225</v>
      </c>
      <c r="E51">
        <f t="shared" si="14"/>
        <v>0.13274595042155646</v>
      </c>
      <c r="F51">
        <f t="shared" si="15"/>
        <v>0</v>
      </c>
      <c r="G51">
        <f t="shared" si="16"/>
        <v>226</v>
      </c>
      <c r="H51">
        <f t="shared" si="17"/>
        <v>15</v>
      </c>
    </row>
    <row r="52" spans="1:8" x14ac:dyDescent="0.55000000000000004">
      <c r="A52">
        <v>229</v>
      </c>
      <c r="B52" s="2">
        <v>25538</v>
      </c>
      <c r="C52">
        <f t="shared" si="12"/>
        <v>149351433752</v>
      </c>
      <c r="D52">
        <f t="shared" si="13"/>
        <v>149351331600</v>
      </c>
      <c r="E52">
        <f t="shared" si="14"/>
        <v>0.13216372008901089</v>
      </c>
      <c r="F52">
        <f t="shared" si="15"/>
        <v>0</v>
      </c>
      <c r="G52">
        <f t="shared" si="16"/>
        <v>5848201</v>
      </c>
      <c r="H52">
        <f t="shared" si="17"/>
        <v>386460</v>
      </c>
    </row>
    <row r="53" spans="1:8" x14ac:dyDescent="0.55000000000000004">
      <c r="A53">
        <v>233</v>
      </c>
      <c r="B53" s="2">
        <v>4602578</v>
      </c>
      <c r="C53">
        <f t="shared" si="12"/>
        <v>4935807758542728</v>
      </c>
      <c r="D53">
        <f t="shared" si="13"/>
        <v>4935807740132416</v>
      </c>
      <c r="E53">
        <f t="shared" si="14"/>
        <v>0.13102436065673828</v>
      </c>
      <c r="F53">
        <f t="shared" si="15"/>
        <v>0</v>
      </c>
      <c r="G53">
        <f t="shared" si="16"/>
        <v>1072400673</v>
      </c>
      <c r="H53">
        <f t="shared" si="17"/>
        <v>70255304</v>
      </c>
    </row>
    <row r="54" spans="1:8" x14ac:dyDescent="0.55000000000000004">
      <c r="A54">
        <v>239</v>
      </c>
      <c r="B54" s="2">
        <v>25921</v>
      </c>
      <c r="C54">
        <f t="shared" si="12"/>
        <v>160583731441</v>
      </c>
      <c r="D54">
        <f t="shared" si="13"/>
        <v>160583627757</v>
      </c>
      <c r="E54">
        <f t="shared" si="14"/>
        <v>0</v>
      </c>
      <c r="F54">
        <f t="shared" si="15"/>
        <v>0.87063075450714678</v>
      </c>
      <c r="G54">
        <f t="shared" si="16"/>
        <v>6195120</v>
      </c>
      <c r="H54">
        <f t="shared" si="17"/>
        <v>400729</v>
      </c>
    </row>
    <row r="55" spans="1:8" x14ac:dyDescent="0.55000000000000004">
      <c r="A55">
        <v>241</v>
      </c>
      <c r="B55" s="2">
        <v>2</v>
      </c>
      <c r="C55">
        <f t="shared" si="12"/>
        <v>968</v>
      </c>
      <c r="D55">
        <f t="shared" si="13"/>
        <v>960</v>
      </c>
      <c r="E55">
        <f t="shared" si="14"/>
        <v>0.11269837220809009</v>
      </c>
      <c r="F55">
        <f t="shared" si="15"/>
        <v>0.98386676965933617</v>
      </c>
      <c r="G55">
        <f t="shared" si="16"/>
        <v>483</v>
      </c>
      <c r="H55">
        <f t="shared" si="17"/>
        <v>31.11269837220809</v>
      </c>
    </row>
    <row r="56" spans="1:8" x14ac:dyDescent="0.55000000000000004">
      <c r="A56">
        <v>251</v>
      </c>
      <c r="B56" s="2">
        <v>14641</v>
      </c>
      <c r="C56">
        <f t="shared" si="12"/>
        <v>53804108413</v>
      </c>
      <c r="D56">
        <f t="shared" si="13"/>
        <v>53804049849</v>
      </c>
      <c r="E56">
        <f t="shared" si="14"/>
        <v>0.12623888062080368</v>
      </c>
      <c r="F56">
        <f t="shared" si="15"/>
        <v>0</v>
      </c>
      <c r="G56">
        <f t="shared" si="16"/>
        <v>3674890</v>
      </c>
      <c r="H56">
        <f t="shared" si="17"/>
        <v>231957</v>
      </c>
    </row>
    <row r="57" spans="1:8" x14ac:dyDescent="0.55000000000000004">
      <c r="A57">
        <v>257</v>
      </c>
      <c r="B57" s="2">
        <v>2048</v>
      </c>
      <c r="C57">
        <f t="shared" si="12"/>
        <v>1077940224</v>
      </c>
      <c r="D57">
        <f t="shared" si="13"/>
        <v>1077932032</v>
      </c>
      <c r="E57">
        <f t="shared" si="14"/>
        <v>0</v>
      </c>
      <c r="F57">
        <f t="shared" si="15"/>
        <v>0.87524342769029317</v>
      </c>
      <c r="G57">
        <f t="shared" si="16"/>
        <v>526337</v>
      </c>
      <c r="H57">
        <f t="shared" si="17"/>
        <v>32832</v>
      </c>
    </row>
    <row r="58" spans="1:8" x14ac:dyDescent="0.55000000000000004">
      <c r="A58">
        <v>263</v>
      </c>
      <c r="B58" s="2">
        <v>529</v>
      </c>
      <c r="C58">
        <f t="shared" si="12"/>
        <v>73599241</v>
      </c>
      <c r="D58">
        <f t="shared" si="13"/>
        <v>73597125</v>
      </c>
      <c r="E58">
        <f t="shared" si="14"/>
        <v>0</v>
      </c>
      <c r="F58">
        <f t="shared" si="15"/>
        <v>0.87667471680106246</v>
      </c>
      <c r="G58">
        <f t="shared" si="16"/>
        <v>139128</v>
      </c>
      <c r="H58">
        <f t="shared" si="17"/>
        <v>8579</v>
      </c>
    </row>
    <row r="59" spans="1:8" x14ac:dyDescent="0.55000000000000004">
      <c r="A59">
        <v>269</v>
      </c>
      <c r="B59" s="2">
        <v>50</v>
      </c>
      <c r="C59">
        <f t="shared" si="12"/>
        <v>672600</v>
      </c>
      <c r="D59">
        <f t="shared" si="13"/>
        <v>672400</v>
      </c>
      <c r="E59">
        <f t="shared" si="14"/>
        <v>0.12194215250701745</v>
      </c>
      <c r="F59">
        <f t="shared" si="15"/>
        <v>0</v>
      </c>
      <c r="G59">
        <f t="shared" si="16"/>
        <v>13449</v>
      </c>
      <c r="H59">
        <f t="shared" si="17"/>
        <v>820</v>
      </c>
    </row>
    <row r="60" spans="1:8" x14ac:dyDescent="0.55000000000000004">
      <c r="A60">
        <v>271</v>
      </c>
      <c r="B60" s="2">
        <v>427951969</v>
      </c>
      <c r="C60">
        <f t="shared" si="12"/>
        <v>4.9631722586790658E+19</v>
      </c>
      <c r="D60">
        <f t="shared" si="13"/>
        <v>4.963172258507885E+19</v>
      </c>
      <c r="E60">
        <f t="shared" si="14"/>
        <v>0</v>
      </c>
      <c r="F60">
        <f t="shared" si="15"/>
        <v>0.87850856781005859</v>
      </c>
      <c r="G60">
        <f t="shared" si="16"/>
        <v>115974983600</v>
      </c>
      <c r="H60">
        <f t="shared" si="17"/>
        <v>7044978537</v>
      </c>
    </row>
    <row r="61" spans="1:8" x14ac:dyDescent="0.55000000000000004">
      <c r="A61">
        <v>277</v>
      </c>
      <c r="B61" s="2" t="s">
        <v>186</v>
      </c>
      <c r="C61" t="e">
        <f t="shared" si="12"/>
        <v>#VALUE!</v>
      </c>
      <c r="D61" t="e">
        <f t="shared" si="13"/>
        <v>#VALUE!</v>
      </c>
      <c r="E61" t="e">
        <f t="shared" si="14"/>
        <v>#VALUE!</v>
      </c>
      <c r="F61" t="e">
        <f t="shared" si="15"/>
        <v>#VALUE!</v>
      </c>
      <c r="G61" t="e">
        <f t="shared" si="16"/>
        <v>#VALUE!</v>
      </c>
      <c r="H61" t="e">
        <f t="shared" si="17"/>
        <v>#VALUE!</v>
      </c>
    </row>
    <row r="62" spans="1:8" x14ac:dyDescent="0.55000000000000004">
      <c r="A62">
        <v>281</v>
      </c>
      <c r="B62" s="2">
        <v>8050536050</v>
      </c>
      <c r="C62">
        <f t="shared" si="12"/>
        <v>1.821192772456634E+22</v>
      </c>
      <c r="D62">
        <f t="shared" si="13"/>
        <v>1.8211927724534138E+22</v>
      </c>
      <c r="E62">
        <f t="shared" si="14"/>
        <v>0.1193084716796875</v>
      </c>
      <c r="F62">
        <f t="shared" si="15"/>
        <v>0</v>
      </c>
      <c r="G62">
        <f t="shared" si="16"/>
        <v>2262200630049</v>
      </c>
      <c r="H62">
        <f t="shared" si="17"/>
        <v>134951575480</v>
      </c>
    </row>
    <row r="63" spans="1:8" x14ac:dyDescent="0.55000000000000004">
      <c r="A63">
        <v>283</v>
      </c>
      <c r="B63" s="2">
        <v>488601</v>
      </c>
      <c r="C63">
        <f t="shared" si="12"/>
        <v>67560856205085</v>
      </c>
      <c r="D63">
        <f t="shared" si="13"/>
        <v>67560854250681</v>
      </c>
      <c r="E63">
        <f t="shared" si="14"/>
        <v>0.11888766009360552</v>
      </c>
      <c r="F63">
        <f t="shared" si="15"/>
        <v>0</v>
      </c>
      <c r="G63">
        <f t="shared" si="16"/>
        <v>138274082</v>
      </c>
      <c r="H63">
        <f t="shared" si="17"/>
        <v>8219541</v>
      </c>
    </row>
    <row r="64" spans="1:8" x14ac:dyDescent="0.55000000000000004">
      <c r="A64">
        <v>293</v>
      </c>
      <c r="B64" s="2">
        <v>42050</v>
      </c>
      <c r="C64">
        <f t="shared" si="12"/>
        <v>518083416600</v>
      </c>
      <c r="D64">
        <f t="shared" si="13"/>
        <v>518083248400</v>
      </c>
      <c r="E64">
        <f t="shared" si="14"/>
        <v>0.11684124753810465</v>
      </c>
      <c r="F64">
        <f t="shared" si="15"/>
        <v>0</v>
      </c>
      <c r="G64">
        <f t="shared" si="16"/>
        <v>12320649</v>
      </c>
      <c r="H64">
        <f t="shared" si="17"/>
        <v>719780</v>
      </c>
    </row>
    <row r="65" spans="1:8" x14ac:dyDescent="0.55000000000000004">
      <c r="A65">
        <v>307</v>
      </c>
      <c r="B65" s="2">
        <v>288369</v>
      </c>
      <c r="C65">
        <f t="shared" si="12"/>
        <v>25529101386165</v>
      </c>
      <c r="D65">
        <f t="shared" si="13"/>
        <v>25529100232689</v>
      </c>
      <c r="E65">
        <f t="shared" si="14"/>
        <v>0.11414602864533663</v>
      </c>
      <c r="F65">
        <f t="shared" si="15"/>
        <v>0</v>
      </c>
      <c r="G65">
        <f t="shared" si="16"/>
        <v>88529282</v>
      </c>
      <c r="H65">
        <f t="shared" si="17"/>
        <v>5052633</v>
      </c>
    </row>
    <row r="66" spans="1:8" x14ac:dyDescent="0.55000000000000004">
      <c r="A66">
        <v>311</v>
      </c>
      <c r="B66" s="2">
        <v>54289</v>
      </c>
      <c r="C66">
        <f t="shared" si="12"/>
        <v>916609015609</v>
      </c>
      <c r="D66">
        <f t="shared" si="13"/>
        <v>916608798453</v>
      </c>
      <c r="E66">
        <f t="shared" si="14"/>
        <v>0</v>
      </c>
      <c r="F66">
        <f t="shared" si="15"/>
        <v>0.88659040455240756</v>
      </c>
      <c r="G66">
        <f t="shared" si="16"/>
        <v>16883880</v>
      </c>
      <c r="H66">
        <f t="shared" si="17"/>
        <v>957397</v>
      </c>
    </row>
    <row r="67" spans="1:8" x14ac:dyDescent="0.55000000000000004">
      <c r="A67">
        <v>313</v>
      </c>
      <c r="B67" s="2">
        <v>10000</v>
      </c>
      <c r="C67">
        <f t="shared" si="12"/>
        <v>31300020000</v>
      </c>
      <c r="D67">
        <f t="shared" si="13"/>
        <v>31299980000</v>
      </c>
      <c r="E67">
        <f t="shared" si="14"/>
        <v>0.11665287418873049</v>
      </c>
      <c r="F67">
        <f t="shared" si="15"/>
        <v>3.6061904102098197E-3</v>
      </c>
      <c r="G67">
        <f t="shared" si="16"/>
        <v>3130001</v>
      </c>
      <c r="H67">
        <f t="shared" si="17"/>
        <v>176918.11665287419</v>
      </c>
    </row>
    <row r="68" spans="1:8" x14ac:dyDescent="0.55000000000000004">
      <c r="A68">
        <v>317</v>
      </c>
      <c r="B68" s="2">
        <v>784476050</v>
      </c>
      <c r="C68">
        <f t="shared" si="12"/>
        <v>1.9508264735005095E+20</v>
      </c>
      <c r="D68">
        <f t="shared" si="13"/>
        <v>1.9508264734691305E+20</v>
      </c>
      <c r="E68">
        <f t="shared" si="14"/>
        <v>0.11233139038085938</v>
      </c>
      <c r="F68">
        <f t="shared" si="15"/>
        <v>0</v>
      </c>
      <c r="G68">
        <f t="shared" si="16"/>
        <v>248678907849</v>
      </c>
      <c r="H68">
        <f t="shared" si="17"/>
        <v>13967198980</v>
      </c>
    </row>
    <row r="69" spans="1:8" x14ac:dyDescent="0.55000000000000004">
      <c r="A69">
        <v>331</v>
      </c>
      <c r="B69" s="2">
        <v>8415679158441</v>
      </c>
      <c r="C69">
        <f t="shared" si="12"/>
        <v>2.3442630035977845E+28</v>
      </c>
      <c r="D69">
        <f t="shared" si="13"/>
        <v>2.3442630035977814E+28</v>
      </c>
      <c r="E69">
        <f t="shared" si="14"/>
        <v>0</v>
      </c>
      <c r="F69">
        <f t="shared" si="15"/>
        <v>0</v>
      </c>
      <c r="G69">
        <f t="shared" si="16"/>
        <v>2785589801443970</v>
      </c>
      <c r="H69">
        <f t="shared" si="17"/>
        <v>153109862634573</v>
      </c>
    </row>
    <row r="70" spans="1:8" x14ac:dyDescent="0.55000000000000004">
      <c r="A70">
        <v>337</v>
      </c>
      <c r="B70" s="2">
        <v>2</v>
      </c>
      <c r="C70">
        <f t="shared" si="12"/>
        <v>1352</v>
      </c>
      <c r="D70">
        <f t="shared" si="13"/>
        <v>1344</v>
      </c>
      <c r="E70">
        <f t="shared" si="14"/>
        <v>0.76955262170046979</v>
      </c>
      <c r="F70">
        <f t="shared" si="15"/>
        <v>0.66060555964671863</v>
      </c>
      <c r="G70">
        <f t="shared" si="16"/>
        <v>675</v>
      </c>
      <c r="H70">
        <f t="shared" si="17"/>
        <v>36.76955262170047</v>
      </c>
    </row>
    <row r="71" spans="1:8" x14ac:dyDescent="0.55000000000000004">
      <c r="A71">
        <v>347</v>
      </c>
      <c r="B71" s="2">
        <v>1849</v>
      </c>
      <c r="C71">
        <f t="shared" si="12"/>
        <v>1186327645</v>
      </c>
      <c r="D71">
        <f t="shared" si="13"/>
        <v>1186320249</v>
      </c>
      <c r="E71">
        <f t="shared" si="14"/>
        <v>0.10736562541569583</v>
      </c>
      <c r="F71">
        <f t="shared" si="15"/>
        <v>0</v>
      </c>
      <c r="G71">
        <f t="shared" si="16"/>
        <v>641602</v>
      </c>
      <c r="H71">
        <f t="shared" si="17"/>
        <v>34443</v>
      </c>
    </row>
    <row r="72" spans="1:8" x14ac:dyDescent="0.55000000000000004">
      <c r="A72">
        <v>349</v>
      </c>
      <c r="B72" s="2">
        <v>486098</v>
      </c>
      <c r="C72">
        <f t="shared" si="12"/>
        <v>82465652667992</v>
      </c>
      <c r="D72">
        <f t="shared" si="13"/>
        <v>82465650723600</v>
      </c>
      <c r="E72">
        <f t="shared" si="14"/>
        <v>0.10705754533410072</v>
      </c>
      <c r="F72">
        <f t="shared" si="15"/>
        <v>0</v>
      </c>
      <c r="G72">
        <f t="shared" si="16"/>
        <v>169648201</v>
      </c>
      <c r="H72">
        <f t="shared" si="17"/>
        <v>9081060</v>
      </c>
    </row>
    <row r="73" spans="1:8" x14ac:dyDescent="0.55000000000000004">
      <c r="A73">
        <v>353</v>
      </c>
      <c r="B73" s="2">
        <v>98</v>
      </c>
      <c r="C73">
        <f t="shared" si="12"/>
        <v>3390408</v>
      </c>
      <c r="D73">
        <f t="shared" si="13"/>
        <v>3390016</v>
      </c>
      <c r="E73">
        <f t="shared" si="14"/>
        <v>0.30605820976984432</v>
      </c>
      <c r="F73">
        <f t="shared" si="15"/>
        <v>0.19960895064286888</v>
      </c>
      <c r="G73">
        <f t="shared" si="16"/>
        <v>34595</v>
      </c>
      <c r="H73">
        <f t="shared" si="17"/>
        <v>1841.3060582097698</v>
      </c>
    </row>
    <row r="74" spans="1:8" x14ac:dyDescent="0.55000000000000004">
      <c r="A74">
        <v>359</v>
      </c>
      <c r="B74" s="2">
        <v>1</v>
      </c>
      <c r="C74">
        <f t="shared" si="12"/>
        <v>361</v>
      </c>
      <c r="D74">
        <f t="shared" si="13"/>
        <v>357</v>
      </c>
      <c r="E74">
        <f t="shared" si="14"/>
        <v>0</v>
      </c>
      <c r="F74">
        <f t="shared" si="15"/>
        <v>0.89444362769118513</v>
      </c>
      <c r="G74">
        <f t="shared" si="16"/>
        <v>360</v>
      </c>
      <c r="H74">
        <f t="shared" si="17"/>
        <v>19</v>
      </c>
    </row>
    <row r="75" spans="1:8" x14ac:dyDescent="0.55000000000000004">
      <c r="A75">
        <v>367</v>
      </c>
      <c r="B75" s="2">
        <v>51825601</v>
      </c>
      <c r="C75">
        <f t="shared" si="12"/>
        <v>9.8572270138076198E+17</v>
      </c>
      <c r="D75">
        <f t="shared" si="13"/>
        <v>9.8572270117345958E+17</v>
      </c>
      <c r="E75">
        <f t="shared" si="14"/>
        <v>0</v>
      </c>
      <c r="F75">
        <f t="shared" si="15"/>
        <v>0.89560091495513916</v>
      </c>
      <c r="G75">
        <f t="shared" si="16"/>
        <v>19019995568</v>
      </c>
      <c r="H75">
        <f t="shared" si="17"/>
        <v>992835687</v>
      </c>
    </row>
    <row r="76" spans="1:8" x14ac:dyDescent="0.55000000000000004">
      <c r="A76">
        <v>373</v>
      </c>
      <c r="B76" s="2">
        <v>140450</v>
      </c>
      <c r="C76">
        <f t="shared" si="12"/>
        <v>7357873813400</v>
      </c>
      <c r="D76">
        <f t="shared" si="13"/>
        <v>7357873251600</v>
      </c>
      <c r="E76">
        <f t="shared" si="14"/>
        <v>0.10355607466772199</v>
      </c>
      <c r="F76">
        <f t="shared" si="15"/>
        <v>0</v>
      </c>
      <c r="G76">
        <f t="shared" si="16"/>
        <v>52387849</v>
      </c>
      <c r="H76">
        <f t="shared" si="17"/>
        <v>2712540</v>
      </c>
    </row>
    <row r="77" spans="1:8" x14ac:dyDescent="0.55000000000000004">
      <c r="A77">
        <v>379</v>
      </c>
      <c r="B77" s="2">
        <v>34145639104329</v>
      </c>
      <c r="C77">
        <f t="shared" si="12"/>
        <v>4.4188544987052811E+29</v>
      </c>
      <c r="D77">
        <f t="shared" si="13"/>
        <v>4.4188544987052797E+29</v>
      </c>
      <c r="E77">
        <f t="shared" si="14"/>
        <v>0</v>
      </c>
      <c r="F77">
        <f t="shared" si="15"/>
        <v>0</v>
      </c>
      <c r="G77">
        <f t="shared" si="16"/>
        <v>1.2941197220540692E+16</v>
      </c>
      <c r="H77">
        <f t="shared" si="17"/>
        <v>664744650125541.13</v>
      </c>
    </row>
    <row r="78" spans="1:8" x14ac:dyDescent="0.55000000000000004">
      <c r="A78">
        <v>383</v>
      </c>
      <c r="B78" s="2">
        <v>49</v>
      </c>
      <c r="C78">
        <f t="shared" si="12"/>
        <v>919681</v>
      </c>
      <c r="D78">
        <f t="shared" si="13"/>
        <v>919485</v>
      </c>
      <c r="E78">
        <f t="shared" si="14"/>
        <v>0</v>
      </c>
      <c r="F78">
        <f t="shared" si="15"/>
        <v>0.89780477379338208</v>
      </c>
      <c r="G78">
        <f t="shared" si="16"/>
        <v>18768</v>
      </c>
      <c r="H78">
        <f t="shared" si="17"/>
        <v>959</v>
      </c>
    </row>
    <row r="79" spans="1:8" x14ac:dyDescent="0.55000000000000004">
      <c r="A79">
        <v>389</v>
      </c>
      <c r="B79" s="2">
        <v>8450</v>
      </c>
      <c r="C79">
        <f t="shared" si="12"/>
        <v>27775589400</v>
      </c>
      <c r="D79">
        <f t="shared" si="13"/>
        <v>27775555600</v>
      </c>
      <c r="E79">
        <f t="shared" si="14"/>
        <v>0.10140402530669235</v>
      </c>
      <c r="F79">
        <f t="shared" si="15"/>
        <v>0</v>
      </c>
      <c r="G79">
        <f t="shared" si="16"/>
        <v>3287049</v>
      </c>
      <c r="H79">
        <f t="shared" si="17"/>
        <v>166660</v>
      </c>
    </row>
    <row r="80" spans="1:8" x14ac:dyDescent="0.55000000000000004">
      <c r="A80">
        <v>397</v>
      </c>
      <c r="B80" s="2">
        <v>1.68398947367044E+16</v>
      </c>
      <c r="C80">
        <f t="shared" si="12"/>
        <v>1.1258207573308398E+35</v>
      </c>
      <c r="D80">
        <f t="shared" si="13"/>
        <v>1.1258207573308398E+35</v>
      </c>
      <c r="E80">
        <f t="shared" si="14"/>
        <v>0</v>
      </c>
      <c r="F80">
        <f t="shared" si="15"/>
        <v>0</v>
      </c>
      <c r="G80">
        <f t="shared" si="16"/>
        <v>6.6854382104716472E+18</v>
      </c>
      <c r="H80">
        <f t="shared" si="17"/>
        <v>3.3553252559637786E+17</v>
      </c>
    </row>
    <row r="81" spans="1:8" x14ac:dyDescent="0.55000000000000004">
      <c r="A81">
        <v>401</v>
      </c>
      <c r="B81" s="2">
        <v>2</v>
      </c>
      <c r="C81">
        <f t="shared" si="12"/>
        <v>1608</v>
      </c>
      <c r="D81">
        <f t="shared" si="13"/>
        <v>1600</v>
      </c>
      <c r="E81">
        <f t="shared" si="14"/>
        <v>9.9875311526844257E-2</v>
      </c>
      <c r="F81">
        <f t="shared" si="15"/>
        <v>0</v>
      </c>
      <c r="G81">
        <f t="shared" si="16"/>
        <v>801</v>
      </c>
      <c r="H81">
        <f t="shared" si="17"/>
        <v>40</v>
      </c>
    </row>
    <row r="82" spans="1:8" x14ac:dyDescent="0.55000000000000004">
      <c r="A82">
        <v>409</v>
      </c>
      <c r="B82" s="2">
        <v>8179600</v>
      </c>
      <c r="C82">
        <f t="shared" si="12"/>
        <v>2.73644951857992E+16</v>
      </c>
      <c r="D82">
        <f t="shared" si="13"/>
        <v>2.73644951530808E+16</v>
      </c>
      <c r="E82">
        <f t="shared" si="14"/>
        <v>0.59424203634262085</v>
      </c>
      <c r="F82">
        <f t="shared" si="15"/>
        <v>0.49534839391708374</v>
      </c>
      <c r="G82">
        <f t="shared" si="16"/>
        <v>3345456401</v>
      </c>
      <c r="H82">
        <f t="shared" si="17"/>
        <v>165422172.59424204</v>
      </c>
    </row>
    <row r="83" spans="1:8" x14ac:dyDescent="0.55000000000000004">
      <c r="A83">
        <v>419</v>
      </c>
      <c r="B83" s="2">
        <v>644809</v>
      </c>
      <c r="C83">
        <f t="shared" si="12"/>
        <v>174211254165157</v>
      </c>
      <c r="D83">
        <f t="shared" si="13"/>
        <v>174211251585921</v>
      </c>
      <c r="E83">
        <f t="shared" si="14"/>
        <v>9.7706394270062447E-2</v>
      </c>
      <c r="F83">
        <f t="shared" si="15"/>
        <v>0</v>
      </c>
      <c r="G83">
        <f t="shared" si="16"/>
        <v>270174970</v>
      </c>
      <c r="H83">
        <f t="shared" si="17"/>
        <v>13198911</v>
      </c>
    </row>
    <row r="84" spans="1:8" x14ac:dyDescent="0.55000000000000004">
      <c r="A84">
        <v>421</v>
      </c>
      <c r="B84" s="2">
        <v>13456</v>
      </c>
      <c r="C84">
        <f t="shared" si="12"/>
        <v>76227943968</v>
      </c>
      <c r="D84">
        <f t="shared" si="13"/>
        <v>76227890144</v>
      </c>
      <c r="E84">
        <f t="shared" si="14"/>
        <v>8.5354974609799683E-2</v>
      </c>
      <c r="F84">
        <f t="shared" si="15"/>
        <v>0.98788093886105344</v>
      </c>
      <c r="G84">
        <f t="shared" si="16"/>
        <v>5664977</v>
      </c>
      <c r="H84">
        <f t="shared" si="17"/>
        <v>276094.08535497461</v>
      </c>
    </row>
    <row r="85" spans="1:8" x14ac:dyDescent="0.55000000000000004">
      <c r="A85">
        <v>431</v>
      </c>
      <c r="B85" s="2">
        <v>351649</v>
      </c>
      <c r="C85">
        <f t="shared" si="12"/>
        <v>53296175978929</v>
      </c>
      <c r="D85">
        <f t="shared" si="13"/>
        <v>53296174572333</v>
      </c>
      <c r="E85">
        <f t="shared" si="14"/>
        <v>0</v>
      </c>
      <c r="F85">
        <f t="shared" si="15"/>
        <v>0.90366338938474655</v>
      </c>
      <c r="G85">
        <f t="shared" si="16"/>
        <v>151560720</v>
      </c>
      <c r="H85">
        <f t="shared" si="17"/>
        <v>7300423</v>
      </c>
    </row>
    <row r="86" spans="1:8" x14ac:dyDescent="0.55000000000000004">
      <c r="A86">
        <v>433</v>
      </c>
      <c r="B86" s="2">
        <v>8317456</v>
      </c>
      <c r="C86">
        <f t="shared" si="12"/>
        <v>2.99549721937032E+16</v>
      </c>
      <c r="D86">
        <f t="shared" si="13"/>
        <v>2.9954972160433376E+16</v>
      </c>
      <c r="E86">
        <f t="shared" si="14"/>
        <v>0.86566779017448425</v>
      </c>
      <c r="F86">
        <f t="shared" si="15"/>
        <v>0.76955392956733704</v>
      </c>
      <c r="G86">
        <f t="shared" si="16"/>
        <v>3601458449</v>
      </c>
      <c r="H86">
        <f t="shared" si="17"/>
        <v>173075047.86566779</v>
      </c>
    </row>
    <row r="87" spans="1:8" x14ac:dyDescent="0.55000000000000004">
      <c r="A87">
        <v>439</v>
      </c>
      <c r="B87" s="2">
        <v>1</v>
      </c>
      <c r="C87">
        <f t="shared" si="12"/>
        <v>441</v>
      </c>
      <c r="D87">
        <f t="shared" si="13"/>
        <v>437</v>
      </c>
      <c r="E87">
        <f t="shared" si="14"/>
        <v>0</v>
      </c>
      <c r="F87">
        <f t="shared" si="15"/>
        <v>0.9045449603668736</v>
      </c>
      <c r="G87">
        <f t="shared" si="16"/>
        <v>440</v>
      </c>
      <c r="H87">
        <f t="shared" si="17"/>
        <v>21</v>
      </c>
    </row>
    <row r="88" spans="1:8" x14ac:dyDescent="0.55000000000000004">
      <c r="A88">
        <v>443</v>
      </c>
      <c r="B88" s="2">
        <v>1</v>
      </c>
      <c r="C88">
        <f t="shared" ref="C88:C151" si="18">B88*(B88*A88+2)</f>
        <v>445</v>
      </c>
      <c r="D88">
        <f t="shared" ref="D88:D151" si="19">B88*(B88*A88-2)</f>
        <v>441</v>
      </c>
      <c r="E88">
        <f t="shared" ref="E88:E151" si="20">SQRT(C88)-_xlfn.FLOOR.MATH(SQRT(C88))</f>
        <v>9.5023109728987976E-2</v>
      </c>
      <c r="F88">
        <f t="shared" ref="F88:F151" si="21">SQRT(D88)-_xlfn.FLOOR.MATH(SQRT(D88))</f>
        <v>0</v>
      </c>
      <c r="G88">
        <f t="shared" ref="G88:G151" si="22">IF(F88=0,B88*A88-1,B88*A88+1)</f>
        <v>442</v>
      </c>
      <c r="H88">
        <f t="shared" ref="H88:H151" si="23">SQRT((G88*G88-1)/A88)</f>
        <v>21</v>
      </c>
    </row>
    <row r="89" spans="1:8" x14ac:dyDescent="0.55000000000000004">
      <c r="A89">
        <v>449</v>
      </c>
      <c r="B89" s="2">
        <v>2</v>
      </c>
      <c r="C89">
        <f t="shared" si="18"/>
        <v>1800</v>
      </c>
      <c r="D89">
        <f t="shared" si="19"/>
        <v>1792</v>
      </c>
      <c r="E89">
        <f t="shared" si="20"/>
        <v>0.42640687119285303</v>
      </c>
      <c r="F89">
        <f t="shared" si="21"/>
        <v>0.33202097703345146</v>
      </c>
      <c r="G89">
        <f t="shared" si="22"/>
        <v>899</v>
      </c>
      <c r="H89">
        <f t="shared" si="23"/>
        <v>42.426406871192853</v>
      </c>
    </row>
    <row r="90" spans="1:8" x14ac:dyDescent="0.55000000000000004">
      <c r="A90">
        <v>457</v>
      </c>
      <c r="B90" s="2">
        <v>17129830992400</v>
      </c>
      <c r="C90">
        <f t="shared" si="18"/>
        <v>1.3409801719148175E+29</v>
      </c>
      <c r="D90">
        <f t="shared" si="19"/>
        <v>1.3409801719148168E+29</v>
      </c>
      <c r="E90">
        <f t="shared" si="20"/>
        <v>0</v>
      </c>
      <c r="F90">
        <f t="shared" si="21"/>
        <v>0</v>
      </c>
      <c r="G90">
        <f t="shared" si="22"/>
        <v>7828332763526799</v>
      </c>
      <c r="H90">
        <f t="shared" si="23"/>
        <v>366193961161952.69</v>
      </c>
    </row>
    <row r="91" spans="1:8" x14ac:dyDescent="0.55000000000000004">
      <c r="A91">
        <v>461</v>
      </c>
      <c r="B91" s="2">
        <v>2564754642482</v>
      </c>
      <c r="C91">
        <f t="shared" si="18"/>
        <v>3.032442499397305E+27</v>
      </c>
      <c r="D91">
        <f t="shared" si="19"/>
        <v>3.0324424993972945E+27</v>
      </c>
      <c r="E91">
        <f t="shared" si="20"/>
        <v>9.375E-2</v>
      </c>
      <c r="F91">
        <f t="shared" si="21"/>
        <v>0</v>
      </c>
      <c r="G91">
        <f t="shared" si="22"/>
        <v>1182351890184201</v>
      </c>
      <c r="H91">
        <f t="shared" si="23"/>
        <v>55067617520620</v>
      </c>
    </row>
    <row r="92" spans="1:8" x14ac:dyDescent="0.55000000000000004">
      <c r="A92">
        <v>463</v>
      </c>
      <c r="B92" s="2">
        <v>534584709409</v>
      </c>
      <c r="C92">
        <f t="shared" si="18"/>
        <v>1.3231651574019906E+26</v>
      </c>
      <c r="D92">
        <f t="shared" si="19"/>
        <v>1.3231651574019693E+26</v>
      </c>
      <c r="E92">
        <f t="shared" si="20"/>
        <v>0</v>
      </c>
      <c r="F92">
        <f t="shared" si="21"/>
        <v>0.90625</v>
      </c>
      <c r="G92">
        <f t="shared" si="22"/>
        <v>247512720456368</v>
      </c>
      <c r="H92">
        <f t="shared" si="23"/>
        <v>11502891625161</v>
      </c>
    </row>
    <row r="93" spans="1:8" x14ac:dyDescent="0.55000000000000004">
      <c r="A93">
        <v>467</v>
      </c>
      <c r="B93" s="2">
        <v>3481</v>
      </c>
      <c r="C93">
        <f t="shared" si="18"/>
        <v>5658814549</v>
      </c>
      <c r="D93">
        <f t="shared" si="19"/>
        <v>5658800625</v>
      </c>
      <c r="E93">
        <f t="shared" si="20"/>
        <v>9.254896268248558E-2</v>
      </c>
      <c r="F93">
        <f t="shared" si="21"/>
        <v>0</v>
      </c>
      <c r="G93">
        <f t="shared" si="22"/>
        <v>1625626</v>
      </c>
      <c r="H93">
        <f t="shared" si="23"/>
        <v>75225</v>
      </c>
    </row>
    <row r="94" spans="1:8" x14ac:dyDescent="0.55000000000000004">
      <c r="A94">
        <v>479</v>
      </c>
      <c r="B94" s="2">
        <v>6241</v>
      </c>
      <c r="C94">
        <f t="shared" si="18"/>
        <v>18657101281</v>
      </c>
      <c r="D94">
        <f t="shared" si="19"/>
        <v>18657076317</v>
      </c>
      <c r="E94">
        <f t="shared" si="20"/>
        <v>0</v>
      </c>
      <c r="F94">
        <f t="shared" si="21"/>
        <v>0.90861766753369011</v>
      </c>
      <c r="G94">
        <f t="shared" si="22"/>
        <v>2989440</v>
      </c>
      <c r="H94">
        <f t="shared" si="23"/>
        <v>136591</v>
      </c>
    </row>
    <row r="95" spans="1:8" x14ac:dyDescent="0.55000000000000004">
      <c r="A95">
        <v>487</v>
      </c>
      <c r="B95" s="2">
        <v>106583313841</v>
      </c>
      <c r="C95">
        <f t="shared" si="18"/>
        <v>5.5323213584034859E+24</v>
      </c>
      <c r="D95">
        <f t="shared" si="19"/>
        <v>5.5323213584030597E+24</v>
      </c>
      <c r="E95">
        <f t="shared" si="20"/>
        <v>0</v>
      </c>
      <c r="F95">
        <f t="shared" si="21"/>
        <v>0.9091796875</v>
      </c>
      <c r="G95">
        <f t="shared" si="22"/>
        <v>51906073840568</v>
      </c>
      <c r="H95">
        <f t="shared" si="23"/>
        <v>2352088722477</v>
      </c>
    </row>
    <row r="96" spans="1:8" x14ac:dyDescent="0.55000000000000004">
      <c r="A96">
        <v>491</v>
      </c>
      <c r="B96" s="2">
        <v>318096</v>
      </c>
      <c r="C96">
        <f t="shared" si="18"/>
        <v>49681867657248</v>
      </c>
      <c r="D96">
        <f t="shared" si="19"/>
        <v>49681866384864</v>
      </c>
      <c r="E96">
        <f t="shared" si="20"/>
        <v>0.56138974707573652</v>
      </c>
      <c r="F96">
        <f t="shared" si="21"/>
        <v>0.47113101091235876</v>
      </c>
      <c r="G96">
        <f t="shared" si="22"/>
        <v>156185137</v>
      </c>
      <c r="H96">
        <f t="shared" si="23"/>
        <v>7048536.5613897471</v>
      </c>
    </row>
    <row r="97" spans="1:8" x14ac:dyDescent="0.55000000000000004">
      <c r="A97">
        <v>499</v>
      </c>
      <c r="B97" s="2">
        <v>9</v>
      </c>
      <c r="C97">
        <f t="shared" si="18"/>
        <v>40437</v>
      </c>
      <c r="D97">
        <f t="shared" si="19"/>
        <v>40401</v>
      </c>
      <c r="E97">
        <f t="shared" si="20"/>
        <v>8.9532298426718171E-2</v>
      </c>
      <c r="F97">
        <f t="shared" si="21"/>
        <v>0</v>
      </c>
      <c r="G97">
        <f t="shared" si="22"/>
        <v>4490</v>
      </c>
      <c r="H97">
        <f t="shared" si="23"/>
        <v>201</v>
      </c>
    </row>
    <row r="98" spans="1:8" x14ac:dyDescent="0.55000000000000004">
      <c r="A98">
        <v>503</v>
      </c>
      <c r="B98" s="2">
        <v>49</v>
      </c>
      <c r="C98">
        <f t="shared" si="18"/>
        <v>1207801</v>
      </c>
      <c r="D98">
        <f t="shared" si="19"/>
        <v>1207605</v>
      </c>
      <c r="E98">
        <f t="shared" si="20"/>
        <v>0</v>
      </c>
      <c r="F98">
        <f t="shared" si="21"/>
        <v>0.91082440751301874</v>
      </c>
      <c r="G98">
        <f t="shared" si="22"/>
        <v>24648</v>
      </c>
      <c r="H98">
        <f t="shared" si="23"/>
        <v>1099</v>
      </c>
    </row>
    <row r="99" spans="1:8" x14ac:dyDescent="0.55000000000000004">
      <c r="A99">
        <v>509</v>
      </c>
      <c r="B99" s="2">
        <v>615326563501778</v>
      </c>
      <c r="C99">
        <f t="shared" si="18"/>
        <v>1.9272103089321198E+32</v>
      </c>
      <c r="D99">
        <f t="shared" si="19"/>
        <v>1.9272103089321198E+32</v>
      </c>
      <c r="E99">
        <f t="shared" si="20"/>
        <v>0</v>
      </c>
      <c r="F99">
        <f t="shared" si="21"/>
        <v>0</v>
      </c>
      <c r="G99">
        <f t="shared" si="22"/>
        <v>3.1320122082240499E+17</v>
      </c>
      <c r="H99">
        <f t="shared" si="23"/>
        <v>1.38824000408147E+16</v>
      </c>
    </row>
    <row r="100" spans="1:8" x14ac:dyDescent="0.55000000000000004">
      <c r="A100">
        <v>521</v>
      </c>
      <c r="B100" s="2">
        <v>6512490000</v>
      </c>
      <c r="C100">
        <f t="shared" si="18"/>
        <v>2.2096926046065126E+22</v>
      </c>
      <c r="D100">
        <f t="shared" si="19"/>
        <v>2.2096926046039075E+22</v>
      </c>
      <c r="E100">
        <f t="shared" si="20"/>
        <v>0.735687255859375</v>
      </c>
      <c r="F100">
        <f t="shared" si="21"/>
        <v>0.6480712890625</v>
      </c>
      <c r="G100">
        <f t="shared" si="22"/>
        <v>3393007290001</v>
      </c>
      <c r="H100">
        <f t="shared" si="23"/>
        <v>148650348287.73569</v>
      </c>
    </row>
    <row r="101" spans="1:8" x14ac:dyDescent="0.55000000000000004">
      <c r="A101">
        <v>523</v>
      </c>
      <c r="B101" s="2">
        <v>156425049</v>
      </c>
      <c r="C101">
        <f t="shared" si="18"/>
        <v>1.2797180284596056E+19</v>
      </c>
      <c r="D101">
        <f t="shared" si="19"/>
        <v>1.2797180283970355E+19</v>
      </c>
      <c r="E101">
        <f t="shared" si="20"/>
        <v>8.7453842163085938E-2</v>
      </c>
      <c r="F101">
        <f t="shared" si="21"/>
        <v>0</v>
      </c>
      <c r="G101">
        <f t="shared" si="22"/>
        <v>81810300626</v>
      </c>
      <c r="H101">
        <f t="shared" si="23"/>
        <v>3577314675</v>
      </c>
    </row>
    <row r="102" spans="1:8" x14ac:dyDescent="0.55000000000000004">
      <c r="A102">
        <v>541</v>
      </c>
      <c r="B102" s="2" t="s">
        <v>186</v>
      </c>
      <c r="C102" t="e">
        <f t="shared" si="18"/>
        <v>#VALUE!</v>
      </c>
      <c r="D102" t="e">
        <f t="shared" si="19"/>
        <v>#VALUE!</v>
      </c>
      <c r="E102" t="e">
        <f t="shared" si="20"/>
        <v>#VALUE!</v>
      </c>
      <c r="F102" t="e">
        <f t="shared" si="21"/>
        <v>#VALUE!</v>
      </c>
      <c r="G102" t="e">
        <f t="shared" si="22"/>
        <v>#VALUE!</v>
      </c>
      <c r="H102" t="e">
        <f t="shared" si="23"/>
        <v>#VALUE!</v>
      </c>
    </row>
    <row r="103" spans="1:8" x14ac:dyDescent="0.55000000000000004">
      <c r="A103">
        <v>547</v>
      </c>
      <c r="B103" s="2">
        <v>292829252769</v>
      </c>
      <c r="C103">
        <f t="shared" si="18"/>
        <v>4.6904687288656827E+25</v>
      </c>
      <c r="D103">
        <f t="shared" si="19"/>
        <v>4.690468728865565E+25</v>
      </c>
      <c r="E103">
        <f t="shared" si="20"/>
        <v>8.59375E-2</v>
      </c>
      <c r="F103">
        <f t="shared" si="21"/>
        <v>0</v>
      </c>
      <c r="G103">
        <f t="shared" si="22"/>
        <v>160177601264642</v>
      </c>
      <c r="H103">
        <f t="shared" si="23"/>
        <v>6848699678673</v>
      </c>
    </row>
    <row r="104" spans="1:8" x14ac:dyDescent="0.55000000000000004">
      <c r="A104">
        <v>557</v>
      </c>
      <c r="B104" s="2">
        <v>50</v>
      </c>
      <c r="C104">
        <f t="shared" si="18"/>
        <v>1392600</v>
      </c>
      <c r="D104">
        <f t="shared" si="19"/>
        <v>1392400</v>
      </c>
      <c r="E104">
        <f t="shared" si="20"/>
        <v>8.4742719775931619E-2</v>
      </c>
      <c r="F104">
        <f t="shared" si="21"/>
        <v>0</v>
      </c>
      <c r="G104">
        <f t="shared" si="22"/>
        <v>27849</v>
      </c>
      <c r="H104">
        <f t="shared" si="23"/>
        <v>1180</v>
      </c>
    </row>
    <row r="105" spans="1:8" x14ac:dyDescent="0.55000000000000004">
      <c r="A105">
        <v>563</v>
      </c>
      <c r="B105" s="2">
        <v>121</v>
      </c>
      <c r="C105">
        <f t="shared" si="18"/>
        <v>8243125</v>
      </c>
      <c r="D105">
        <f t="shared" si="19"/>
        <v>8242641</v>
      </c>
      <c r="E105">
        <f t="shared" si="20"/>
        <v>8.4289950401398528E-2</v>
      </c>
      <c r="F105">
        <f t="shared" si="21"/>
        <v>0</v>
      </c>
      <c r="G105">
        <f t="shared" si="22"/>
        <v>68122</v>
      </c>
      <c r="H105">
        <f t="shared" si="23"/>
        <v>2871</v>
      </c>
    </row>
    <row r="106" spans="1:8" x14ac:dyDescent="0.55000000000000004">
      <c r="A106">
        <v>569</v>
      </c>
      <c r="B106" s="2">
        <v>2.945601618918E+16</v>
      </c>
      <c r="C106">
        <f t="shared" si="18"/>
        <v>4.9369677026048632E+35</v>
      </c>
      <c r="D106">
        <f t="shared" si="19"/>
        <v>4.9369677026048632E+35</v>
      </c>
      <c r="E106">
        <f t="shared" si="20"/>
        <v>0</v>
      </c>
      <c r="F106">
        <f t="shared" si="21"/>
        <v>0</v>
      </c>
      <c r="G106">
        <f t="shared" si="22"/>
        <v>1.6760473211643421E+19</v>
      </c>
      <c r="H106">
        <f t="shared" si="23"/>
        <v>7.0263558852401318E+17</v>
      </c>
    </row>
    <row r="107" spans="1:8" x14ac:dyDescent="0.55000000000000004">
      <c r="A107">
        <v>571</v>
      </c>
      <c r="B107" s="2">
        <v>2878968482240400</v>
      </c>
      <c r="C107">
        <f t="shared" si="18"/>
        <v>4.7327103869098814E+33</v>
      </c>
      <c r="D107">
        <f t="shared" si="19"/>
        <v>4.7327103869098814E+33</v>
      </c>
      <c r="E107">
        <f t="shared" si="20"/>
        <v>0</v>
      </c>
      <c r="F107">
        <f t="shared" si="21"/>
        <v>0</v>
      </c>
      <c r="G107">
        <f t="shared" si="22"/>
        <v>1.6438910033592684E+18</v>
      </c>
      <c r="H107">
        <f t="shared" si="23"/>
        <v>6.8794697374942216E+16</v>
      </c>
    </row>
    <row r="108" spans="1:8" x14ac:dyDescent="0.55000000000000004">
      <c r="A108">
        <v>577</v>
      </c>
      <c r="B108" s="2">
        <v>2</v>
      </c>
      <c r="C108">
        <f t="shared" si="18"/>
        <v>2312</v>
      </c>
      <c r="D108">
        <f t="shared" si="19"/>
        <v>2304</v>
      </c>
      <c r="E108">
        <f t="shared" si="20"/>
        <v>8.3261120685229173E-2</v>
      </c>
      <c r="F108">
        <f t="shared" si="21"/>
        <v>0</v>
      </c>
      <c r="G108">
        <f t="shared" si="22"/>
        <v>1153</v>
      </c>
      <c r="H108">
        <f t="shared" si="23"/>
        <v>48</v>
      </c>
    </row>
    <row r="109" spans="1:8" x14ac:dyDescent="0.55000000000000004">
      <c r="A109">
        <v>577</v>
      </c>
      <c r="B109" s="2">
        <v>2</v>
      </c>
      <c r="C109">
        <f t="shared" si="18"/>
        <v>2312</v>
      </c>
      <c r="D109">
        <f t="shared" si="19"/>
        <v>2304</v>
      </c>
      <c r="E109">
        <f t="shared" si="20"/>
        <v>8.3261120685229173E-2</v>
      </c>
      <c r="F109">
        <f t="shared" si="21"/>
        <v>0</v>
      </c>
      <c r="G109">
        <f t="shared" si="22"/>
        <v>1153</v>
      </c>
      <c r="H109">
        <f t="shared" si="23"/>
        <v>48</v>
      </c>
    </row>
    <row r="110" spans="1:8" x14ac:dyDescent="0.55000000000000004">
      <c r="A110">
        <v>587</v>
      </c>
      <c r="B110" s="2">
        <v>3249</v>
      </c>
      <c r="C110">
        <f t="shared" si="18"/>
        <v>6196379085</v>
      </c>
      <c r="D110">
        <f t="shared" si="19"/>
        <v>6196366089</v>
      </c>
      <c r="E110">
        <f t="shared" si="20"/>
        <v>8.2548834339831956E-2</v>
      </c>
      <c r="F110">
        <f t="shared" si="21"/>
        <v>0</v>
      </c>
      <c r="G110">
        <f t="shared" si="22"/>
        <v>1907162</v>
      </c>
      <c r="H110">
        <f t="shared" si="23"/>
        <v>78717</v>
      </c>
    </row>
    <row r="111" spans="1:8" x14ac:dyDescent="0.55000000000000004">
      <c r="A111">
        <v>593</v>
      </c>
      <c r="B111" s="2">
        <v>1216724450</v>
      </c>
      <c r="C111">
        <f t="shared" si="18"/>
        <v>8.7788810362852029E+20</v>
      </c>
      <c r="D111">
        <f t="shared" si="19"/>
        <v>8.7788810362365346E+20</v>
      </c>
      <c r="E111">
        <f t="shared" si="20"/>
        <v>8.213043212890625E-2</v>
      </c>
      <c r="F111">
        <f t="shared" si="21"/>
        <v>0</v>
      </c>
      <c r="G111">
        <f t="shared" si="22"/>
        <v>721517598849</v>
      </c>
      <c r="H111">
        <f t="shared" si="23"/>
        <v>29629176560</v>
      </c>
    </row>
    <row r="112" spans="1:8" x14ac:dyDescent="0.55000000000000004">
      <c r="A112">
        <v>599</v>
      </c>
      <c r="B112" s="2">
        <v>41212654081</v>
      </c>
      <c r="C112">
        <f t="shared" si="18"/>
        <v>1.0173912309837819E+24</v>
      </c>
      <c r="D112">
        <f t="shared" si="19"/>
        <v>1.0173912309836169E+24</v>
      </c>
      <c r="E112">
        <f t="shared" si="20"/>
        <v>0</v>
      </c>
      <c r="F112">
        <f t="shared" si="21"/>
        <v>0.918212890625</v>
      </c>
      <c r="G112">
        <f t="shared" si="22"/>
        <v>24686379794520</v>
      </c>
      <c r="H112">
        <f t="shared" si="23"/>
        <v>1008658133851</v>
      </c>
    </row>
    <row r="113" spans="1:8" x14ac:dyDescent="0.55000000000000004">
      <c r="A113">
        <v>601</v>
      </c>
      <c r="B113" s="2">
        <v>389376</v>
      </c>
      <c r="C113">
        <f t="shared" si="18"/>
        <v>91119816073728</v>
      </c>
      <c r="D113">
        <f t="shared" si="19"/>
        <v>91119814516224</v>
      </c>
      <c r="E113">
        <f t="shared" si="20"/>
        <v>1.7014415934681892E-2</v>
      </c>
      <c r="F113">
        <f t="shared" si="21"/>
        <v>0.93543271347880363</v>
      </c>
      <c r="G113">
        <f t="shared" si="22"/>
        <v>234014977</v>
      </c>
      <c r="H113">
        <f t="shared" si="23"/>
        <v>9545670.0170144159</v>
      </c>
    </row>
    <row r="114" spans="1:8" x14ac:dyDescent="0.55000000000000004">
      <c r="A114">
        <v>607</v>
      </c>
      <c r="B114" s="2">
        <v>270306481</v>
      </c>
      <c r="C114">
        <f t="shared" si="18"/>
        <v>4.435081535859685E+19</v>
      </c>
      <c r="D114">
        <f t="shared" si="19"/>
        <v>4.4350815357515629E+19</v>
      </c>
      <c r="E114">
        <f t="shared" si="20"/>
        <v>0</v>
      </c>
      <c r="F114">
        <f t="shared" si="21"/>
        <v>0.91882228851318359</v>
      </c>
      <c r="G114">
        <f t="shared" si="22"/>
        <v>164076033968</v>
      </c>
      <c r="H114">
        <f t="shared" si="23"/>
        <v>6659640783</v>
      </c>
    </row>
    <row r="115" spans="1:8" x14ac:dyDescent="0.55000000000000004">
      <c r="A115">
        <v>613</v>
      </c>
      <c r="B115" s="2">
        <v>19600</v>
      </c>
      <c r="C115">
        <f t="shared" si="18"/>
        <v>235490119200</v>
      </c>
      <c r="D115">
        <f t="shared" si="19"/>
        <v>235490040800</v>
      </c>
      <c r="E115">
        <f t="shared" si="20"/>
        <v>0.24179270386230201</v>
      </c>
      <c r="F115">
        <f t="shared" si="21"/>
        <v>0.16101346467621624</v>
      </c>
      <c r="G115">
        <f t="shared" si="22"/>
        <v>12014801</v>
      </c>
      <c r="H115">
        <f t="shared" si="23"/>
        <v>485273.24179270386</v>
      </c>
    </row>
    <row r="116" spans="1:8" x14ac:dyDescent="0.55000000000000004">
      <c r="A116">
        <v>617</v>
      </c>
      <c r="B116" s="2">
        <v>5451529356242</v>
      </c>
      <c r="C116">
        <f t="shared" si="18"/>
        <v>1.8336729322654462E+28</v>
      </c>
      <c r="D116">
        <f t="shared" si="19"/>
        <v>1.833672932265444E+28</v>
      </c>
      <c r="E116">
        <f t="shared" si="20"/>
        <v>0</v>
      </c>
      <c r="F116">
        <f t="shared" si="21"/>
        <v>0</v>
      </c>
      <c r="G116">
        <f t="shared" si="22"/>
        <v>3363593612801313</v>
      </c>
      <c r="H116">
        <f t="shared" si="23"/>
        <v>135413180018248</v>
      </c>
    </row>
    <row r="117" spans="1:8" x14ac:dyDescent="0.55000000000000004">
      <c r="A117">
        <v>619</v>
      </c>
      <c r="B117" s="2">
        <v>2631690000</v>
      </c>
      <c r="C117">
        <f t="shared" si="18"/>
        <v>4.2870654065311634E+21</v>
      </c>
      <c r="D117">
        <f t="shared" si="19"/>
        <v>4.2870654065206367E+21</v>
      </c>
      <c r="E117">
        <f t="shared" si="20"/>
        <v>0.2958984375</v>
      </c>
      <c r="F117">
        <f t="shared" si="21"/>
        <v>0.21551513671875</v>
      </c>
      <c r="G117">
        <f t="shared" si="22"/>
        <v>1629016110001</v>
      </c>
      <c r="H117">
        <f t="shared" si="23"/>
        <v>65475685613.295898</v>
      </c>
    </row>
    <row r="118" spans="1:8" x14ac:dyDescent="0.55000000000000004">
      <c r="A118">
        <v>631</v>
      </c>
      <c r="B118" s="2" t="s">
        <v>186</v>
      </c>
      <c r="C118" t="e">
        <f t="shared" si="18"/>
        <v>#VALUE!</v>
      </c>
      <c r="D118" t="e">
        <f t="shared" si="19"/>
        <v>#VALUE!</v>
      </c>
      <c r="E118" t="e">
        <f t="shared" si="20"/>
        <v>#VALUE!</v>
      </c>
      <c r="F118" t="e">
        <f t="shared" si="21"/>
        <v>#VALUE!</v>
      </c>
      <c r="G118" t="e">
        <f t="shared" si="22"/>
        <v>#VALUE!</v>
      </c>
      <c r="H118" t="e">
        <f t="shared" si="23"/>
        <v>#VALUE!</v>
      </c>
    </row>
    <row r="119" spans="1:8" x14ac:dyDescent="0.55000000000000004">
      <c r="A119">
        <v>641</v>
      </c>
      <c r="B119" s="2">
        <v>5320322</v>
      </c>
      <c r="C119">
        <f t="shared" si="18"/>
        <v>1.8144034594382088E+16</v>
      </c>
      <c r="D119">
        <f t="shared" si="19"/>
        <v>1.81440345731008E+16</v>
      </c>
      <c r="E119">
        <f t="shared" si="20"/>
        <v>0.3368217945098877</v>
      </c>
      <c r="F119">
        <f t="shared" si="21"/>
        <v>0.2578265368938446</v>
      </c>
      <c r="G119">
        <f t="shared" si="22"/>
        <v>3410326403</v>
      </c>
      <c r="H119">
        <f t="shared" si="23"/>
        <v>134699794.33682179</v>
      </c>
    </row>
    <row r="120" spans="1:8" x14ac:dyDescent="0.55000000000000004">
      <c r="A120">
        <v>643</v>
      </c>
      <c r="B120" s="2">
        <v>3093250689</v>
      </c>
      <c r="C120">
        <f t="shared" si="18"/>
        <v>6.1523524874805277E+21</v>
      </c>
      <c r="D120">
        <f t="shared" si="19"/>
        <v>6.1523524874681545E+21</v>
      </c>
      <c r="E120">
        <f t="shared" si="20"/>
        <v>7.88726806640625E-2</v>
      </c>
      <c r="F120">
        <f t="shared" si="21"/>
        <v>0</v>
      </c>
      <c r="G120">
        <f t="shared" si="22"/>
        <v>1988960193026</v>
      </c>
      <c r="H120">
        <f t="shared" si="23"/>
        <v>78436933185</v>
      </c>
    </row>
    <row r="121" spans="1:8" x14ac:dyDescent="0.55000000000000004">
      <c r="A121">
        <v>647</v>
      </c>
      <c r="B121" s="2">
        <v>5184</v>
      </c>
      <c r="C121">
        <f t="shared" si="18"/>
        <v>17387395200</v>
      </c>
      <c r="D121">
        <f t="shared" si="19"/>
        <v>17387374464</v>
      </c>
      <c r="E121">
        <f t="shared" si="20"/>
        <v>0.27255566738313064</v>
      </c>
      <c r="F121">
        <f t="shared" si="21"/>
        <v>0.19392755397711881</v>
      </c>
      <c r="G121">
        <f t="shared" si="22"/>
        <v>3354049</v>
      </c>
      <c r="H121">
        <f t="shared" si="23"/>
        <v>131861.27255566738</v>
      </c>
    </row>
    <row r="122" spans="1:8" x14ac:dyDescent="0.55000000000000004">
      <c r="A122">
        <v>653</v>
      </c>
      <c r="B122" s="2">
        <v>1.60796118969024E+16</v>
      </c>
      <c r="C122">
        <f t="shared" si="18"/>
        <v>1.6883570894701841E+35</v>
      </c>
      <c r="D122">
        <f t="shared" si="19"/>
        <v>1.6883570894701841E+35</v>
      </c>
      <c r="E122">
        <f t="shared" si="20"/>
        <v>0</v>
      </c>
      <c r="F122">
        <f t="shared" si="21"/>
        <v>0</v>
      </c>
      <c r="G122">
        <f t="shared" si="22"/>
        <v>1.0499986568677267E+19</v>
      </c>
      <c r="H122">
        <f t="shared" si="23"/>
        <v>4.1089622649401203E+17</v>
      </c>
    </row>
    <row r="123" spans="1:8" x14ac:dyDescent="0.55000000000000004">
      <c r="A123">
        <v>659</v>
      </c>
      <c r="B123" s="2">
        <v>9</v>
      </c>
      <c r="C123">
        <f t="shared" si="18"/>
        <v>53397</v>
      </c>
      <c r="D123">
        <f t="shared" si="19"/>
        <v>53361</v>
      </c>
      <c r="E123">
        <f t="shared" si="20"/>
        <v>7.7908939820559908E-2</v>
      </c>
      <c r="F123">
        <f t="shared" si="21"/>
        <v>0</v>
      </c>
      <c r="G123">
        <f t="shared" si="22"/>
        <v>5930</v>
      </c>
      <c r="H123">
        <f t="shared" si="23"/>
        <v>231</v>
      </c>
    </row>
    <row r="124" spans="1:8" x14ac:dyDescent="0.55000000000000004">
      <c r="A124">
        <v>661</v>
      </c>
      <c r="B124" s="2">
        <v>9610015005507850</v>
      </c>
      <c r="C124">
        <f t="shared" si="18"/>
        <v>6.1044928736422875E+34</v>
      </c>
      <c r="D124">
        <f t="shared" si="19"/>
        <v>6.1044928736422875E+34</v>
      </c>
      <c r="E124">
        <f t="shared" si="20"/>
        <v>0</v>
      </c>
      <c r="F124">
        <f t="shared" si="21"/>
        <v>0</v>
      </c>
      <c r="G124">
        <f t="shared" si="22"/>
        <v>6.3522199186406892E+18</v>
      </c>
      <c r="H124">
        <f t="shared" si="23"/>
        <v>2.470727195309569E+17</v>
      </c>
    </row>
    <row r="125" spans="1:8" x14ac:dyDescent="0.55000000000000004">
      <c r="A125">
        <v>673</v>
      </c>
      <c r="B125" s="2">
        <v>506018</v>
      </c>
      <c r="C125">
        <f t="shared" si="18"/>
        <v>172324488598088</v>
      </c>
      <c r="D125">
        <f t="shared" si="19"/>
        <v>172324486574016</v>
      </c>
      <c r="E125">
        <f t="shared" si="20"/>
        <v>0.23125664703547955</v>
      </c>
      <c r="F125">
        <f t="shared" si="21"/>
        <v>0.15416231192648411</v>
      </c>
      <c r="G125">
        <f t="shared" si="22"/>
        <v>340550115</v>
      </c>
      <c r="H125">
        <f t="shared" si="23"/>
        <v>13127242.231256647</v>
      </c>
    </row>
    <row r="126" spans="1:8" x14ac:dyDescent="0.55000000000000004">
      <c r="A126">
        <v>677</v>
      </c>
      <c r="B126" s="2">
        <v>2</v>
      </c>
      <c r="C126">
        <f t="shared" si="18"/>
        <v>2712</v>
      </c>
      <c r="D126">
        <f t="shared" si="19"/>
        <v>2704</v>
      </c>
      <c r="E126">
        <f t="shared" si="20"/>
        <v>7.6866265166145809E-2</v>
      </c>
      <c r="F126">
        <f t="shared" si="21"/>
        <v>0</v>
      </c>
      <c r="G126">
        <f t="shared" si="22"/>
        <v>1353</v>
      </c>
      <c r="H126">
        <f t="shared" si="23"/>
        <v>52</v>
      </c>
    </row>
    <row r="127" spans="1:8" x14ac:dyDescent="0.55000000000000004">
      <c r="A127">
        <v>683</v>
      </c>
      <c r="B127" s="2">
        <v>249001</v>
      </c>
      <c r="C127">
        <f t="shared" si="18"/>
        <v>42347023632685</v>
      </c>
      <c r="D127">
        <f t="shared" si="19"/>
        <v>42347022636681</v>
      </c>
      <c r="E127">
        <f t="shared" si="20"/>
        <v>7.6527873054146767E-2</v>
      </c>
      <c r="F127">
        <f t="shared" si="21"/>
        <v>0</v>
      </c>
      <c r="G127">
        <f t="shared" si="22"/>
        <v>170067682</v>
      </c>
      <c r="H127">
        <f t="shared" si="23"/>
        <v>6507459</v>
      </c>
    </row>
    <row r="128" spans="1:8" x14ac:dyDescent="0.55000000000000004">
      <c r="A128">
        <v>691</v>
      </c>
      <c r="B128" s="2">
        <v>489389790096</v>
      </c>
      <c r="C128">
        <f t="shared" si="18"/>
        <v>1.6549613535529397E+26</v>
      </c>
      <c r="D128">
        <f t="shared" si="19"/>
        <v>1.6549613535529201E+26</v>
      </c>
      <c r="E128">
        <f t="shared" si="20"/>
        <v>0.759765625</v>
      </c>
      <c r="F128">
        <f t="shared" si="21"/>
        <v>0.68359375</v>
      </c>
      <c r="G128">
        <f t="shared" si="22"/>
        <v>338168344956337</v>
      </c>
      <c r="H128">
        <f t="shared" si="23"/>
        <v>12864530125709.76</v>
      </c>
    </row>
    <row r="129" spans="1:8" x14ac:dyDescent="0.55000000000000004">
      <c r="A129">
        <v>701</v>
      </c>
      <c r="B129" s="2">
        <v>396050</v>
      </c>
      <c r="C129">
        <f t="shared" si="18"/>
        <v>109955778144600</v>
      </c>
      <c r="D129">
        <f t="shared" si="19"/>
        <v>109955776560400</v>
      </c>
      <c r="E129">
        <f t="shared" si="20"/>
        <v>7.5538957491517067E-2</v>
      </c>
      <c r="F129">
        <f t="shared" si="21"/>
        <v>0</v>
      </c>
      <c r="G129">
        <f t="shared" si="22"/>
        <v>277631049</v>
      </c>
      <c r="H129">
        <f t="shared" si="23"/>
        <v>10485980</v>
      </c>
    </row>
    <row r="130" spans="1:8" x14ac:dyDescent="0.55000000000000004">
      <c r="A130">
        <v>709</v>
      </c>
      <c r="B130" s="2">
        <v>939044674178</v>
      </c>
      <c r="C130">
        <f t="shared" si="18"/>
        <v>6.2519967417236678E+26</v>
      </c>
      <c r="D130">
        <f t="shared" si="19"/>
        <v>6.2519967417236306E+26</v>
      </c>
      <c r="E130">
        <f t="shared" si="20"/>
        <v>7.421875E-2</v>
      </c>
      <c r="F130">
        <f t="shared" si="21"/>
        <v>0</v>
      </c>
      <c r="G130">
        <f t="shared" si="22"/>
        <v>665782673992201</v>
      </c>
      <c r="H130">
        <f t="shared" si="23"/>
        <v>25003993164540</v>
      </c>
    </row>
    <row r="131" spans="1:8" x14ac:dyDescent="0.55000000000000004">
      <c r="A131">
        <v>719</v>
      </c>
      <c r="B131" s="2">
        <v>561168721</v>
      </c>
      <c r="C131">
        <f t="shared" si="18"/>
        <v>2.2642052973641217E+20</v>
      </c>
      <c r="D131">
        <f t="shared" si="19"/>
        <v>2.2642052973416749E+20</v>
      </c>
      <c r="E131">
        <f t="shared" si="20"/>
        <v>0</v>
      </c>
      <c r="F131">
        <f t="shared" si="21"/>
        <v>0.92541313171386719</v>
      </c>
      <c r="G131">
        <f t="shared" si="22"/>
        <v>403480310400</v>
      </c>
      <c r="H131">
        <f t="shared" si="23"/>
        <v>15047276489</v>
      </c>
    </row>
    <row r="132" spans="1:8" x14ac:dyDescent="0.55000000000000004">
      <c r="A132">
        <v>727</v>
      </c>
      <c r="B132" s="2">
        <v>1</v>
      </c>
      <c r="C132">
        <f t="shared" si="18"/>
        <v>729</v>
      </c>
      <c r="D132">
        <f t="shared" si="19"/>
        <v>725</v>
      </c>
      <c r="E132">
        <f t="shared" si="20"/>
        <v>0</v>
      </c>
      <c r="F132">
        <f t="shared" si="21"/>
        <v>0.92582403567251959</v>
      </c>
      <c r="G132">
        <f t="shared" si="22"/>
        <v>728</v>
      </c>
      <c r="H132">
        <f t="shared" si="23"/>
        <v>27</v>
      </c>
    </row>
    <row r="133" spans="1:8" x14ac:dyDescent="0.55000000000000004">
      <c r="A133">
        <v>733</v>
      </c>
      <c r="B133" s="2">
        <v>266450</v>
      </c>
      <c r="C133">
        <f t="shared" si="18"/>
        <v>52039777165400</v>
      </c>
      <c r="D133">
        <f t="shared" si="19"/>
        <v>52039776099600</v>
      </c>
      <c r="E133">
        <f t="shared" si="20"/>
        <v>7.3871685191988945E-2</v>
      </c>
      <c r="F133">
        <f t="shared" si="21"/>
        <v>0</v>
      </c>
      <c r="G133">
        <f t="shared" si="22"/>
        <v>195307849</v>
      </c>
      <c r="H133">
        <f t="shared" si="23"/>
        <v>7213860</v>
      </c>
    </row>
    <row r="134" spans="1:8" x14ac:dyDescent="0.55000000000000004">
      <c r="A134">
        <v>739</v>
      </c>
      <c r="B134" s="2">
        <v>38787984</v>
      </c>
      <c r="C134">
        <f t="shared" si="18"/>
        <v>1.1118311924351411E+18</v>
      </c>
      <c r="D134">
        <f t="shared" si="19"/>
        <v>1.1118311922799892E+18</v>
      </c>
      <c r="E134">
        <f t="shared" si="20"/>
        <v>0.63034820556640625</v>
      </c>
      <c r="F134">
        <f t="shared" si="21"/>
        <v>0.55677711963653564</v>
      </c>
      <c r="G134">
        <f t="shared" si="22"/>
        <v>28664320177</v>
      </c>
      <c r="H134">
        <f t="shared" si="23"/>
        <v>1054434062.6303482</v>
      </c>
    </row>
    <row r="135" spans="1:8" x14ac:dyDescent="0.55000000000000004">
      <c r="A135">
        <v>743</v>
      </c>
      <c r="B135" s="2">
        <v>961</v>
      </c>
      <c r="C135">
        <f t="shared" si="18"/>
        <v>686178025</v>
      </c>
      <c r="D135">
        <f t="shared" si="19"/>
        <v>686174181</v>
      </c>
      <c r="E135">
        <f t="shared" si="20"/>
        <v>0</v>
      </c>
      <c r="F135">
        <f t="shared" si="21"/>
        <v>0.9266271161759505</v>
      </c>
      <c r="G135">
        <f t="shared" si="22"/>
        <v>714024</v>
      </c>
      <c r="H135">
        <f t="shared" si="23"/>
        <v>26195</v>
      </c>
    </row>
    <row r="136" spans="1:8" x14ac:dyDescent="0.55000000000000004">
      <c r="A136">
        <v>751</v>
      </c>
      <c r="B136" s="2" t="s">
        <v>186</v>
      </c>
      <c r="C136" t="e">
        <f t="shared" si="18"/>
        <v>#VALUE!</v>
      </c>
      <c r="D136" t="e">
        <f t="shared" si="19"/>
        <v>#VALUE!</v>
      </c>
      <c r="E136" t="e">
        <f t="shared" si="20"/>
        <v>#VALUE!</v>
      </c>
      <c r="F136" t="e">
        <f t="shared" si="21"/>
        <v>#VALUE!</v>
      </c>
      <c r="G136" t="e">
        <f t="shared" si="22"/>
        <v>#VALUE!</v>
      </c>
      <c r="H136" t="e">
        <f t="shared" si="23"/>
        <v>#VALUE!</v>
      </c>
    </row>
    <row r="137" spans="1:8" x14ac:dyDescent="0.55000000000000004">
      <c r="A137">
        <v>757</v>
      </c>
      <c r="B137" s="2">
        <v>4953906722</v>
      </c>
      <c r="C137">
        <f t="shared" si="18"/>
        <v>1.8577682200389434E+22</v>
      </c>
      <c r="D137">
        <f t="shared" si="19"/>
        <v>1.8577682200369618E+22</v>
      </c>
      <c r="E137">
        <f t="shared" si="20"/>
        <v>7.269287109375E-2</v>
      </c>
      <c r="F137">
        <f t="shared" si="21"/>
        <v>0</v>
      </c>
      <c r="G137">
        <f t="shared" si="22"/>
        <v>3750107388553</v>
      </c>
      <c r="H137">
        <f t="shared" si="23"/>
        <v>136299971388</v>
      </c>
    </row>
    <row r="138" spans="1:8" x14ac:dyDescent="0.55000000000000004">
      <c r="A138">
        <v>761</v>
      </c>
      <c r="B138" s="2">
        <v>24336</v>
      </c>
      <c r="C138">
        <f t="shared" si="18"/>
        <v>450695370528</v>
      </c>
      <c r="D138">
        <f t="shared" si="19"/>
        <v>450695273184</v>
      </c>
      <c r="E138">
        <f t="shared" si="20"/>
        <v>0.49176700715906918</v>
      </c>
      <c r="F138">
        <f t="shared" si="21"/>
        <v>0.41926706384401768</v>
      </c>
      <c r="G138">
        <f t="shared" si="22"/>
        <v>18519697</v>
      </c>
      <c r="H138">
        <f t="shared" si="23"/>
        <v>671338.49176700716</v>
      </c>
    </row>
    <row r="139" spans="1:8" x14ac:dyDescent="0.55000000000000004">
      <c r="A139">
        <v>769</v>
      </c>
      <c r="B139" s="2">
        <v>1058</v>
      </c>
      <c r="C139">
        <f t="shared" si="18"/>
        <v>860793032</v>
      </c>
      <c r="D139">
        <f t="shared" si="19"/>
        <v>860788800</v>
      </c>
      <c r="E139">
        <f t="shared" si="20"/>
        <v>0.27456499222898856</v>
      </c>
      <c r="F139">
        <f t="shared" si="21"/>
        <v>0.20244314763112925</v>
      </c>
      <c r="G139">
        <f t="shared" si="22"/>
        <v>813603</v>
      </c>
      <c r="H139">
        <f t="shared" si="23"/>
        <v>29339.274564992229</v>
      </c>
    </row>
    <row r="140" spans="1:8" x14ac:dyDescent="0.55000000000000004">
      <c r="A140">
        <v>773</v>
      </c>
      <c r="B140" s="2">
        <v>4666746050</v>
      </c>
      <c r="C140">
        <f t="shared" si="18"/>
        <v>1.6834794951391668E+22</v>
      </c>
      <c r="D140">
        <f t="shared" si="19"/>
        <v>1.6834794951373002E+22</v>
      </c>
      <c r="E140">
        <f t="shared" si="20"/>
        <v>7.1929931640625E-2</v>
      </c>
      <c r="F140">
        <f t="shared" si="21"/>
        <v>0</v>
      </c>
      <c r="G140">
        <f t="shared" si="22"/>
        <v>3607394696649</v>
      </c>
      <c r="H140">
        <f t="shared" si="23"/>
        <v>129748968980</v>
      </c>
    </row>
    <row r="141" spans="1:8" x14ac:dyDescent="0.55000000000000004">
      <c r="A141">
        <v>787</v>
      </c>
      <c r="B141" s="2">
        <v>43996689</v>
      </c>
      <c r="C141">
        <f t="shared" si="18"/>
        <v>1.5234027020996549E+18</v>
      </c>
      <c r="D141">
        <f t="shared" si="19"/>
        <v>1.523402701923668E+18</v>
      </c>
      <c r="E141">
        <f t="shared" si="20"/>
        <v>7.1292400360107422E-2</v>
      </c>
      <c r="F141">
        <f t="shared" si="21"/>
        <v>0</v>
      </c>
      <c r="G141">
        <f t="shared" si="22"/>
        <v>34625394242</v>
      </c>
      <c r="H141">
        <f t="shared" si="23"/>
        <v>1234262007</v>
      </c>
    </row>
    <row r="142" spans="1:8" x14ac:dyDescent="0.55000000000000004">
      <c r="A142">
        <v>797</v>
      </c>
      <c r="B142" s="2">
        <v>1532947970450</v>
      </c>
      <c r="C142">
        <f t="shared" si="18"/>
        <v>1.8728937956451021E+27</v>
      </c>
      <c r="D142">
        <f t="shared" si="19"/>
        <v>1.8728937956450958E+27</v>
      </c>
      <c r="E142">
        <f t="shared" si="20"/>
        <v>7.03125E-2</v>
      </c>
      <c r="F142">
        <f t="shared" si="21"/>
        <v>0</v>
      </c>
      <c r="G142">
        <f t="shared" si="22"/>
        <v>1221759532448649</v>
      </c>
      <c r="H142">
        <f t="shared" si="23"/>
        <v>43276943002540</v>
      </c>
    </row>
    <row r="143" spans="1:8" x14ac:dyDescent="0.55000000000000004">
      <c r="A143">
        <v>809</v>
      </c>
      <c r="B143" s="2" t="s">
        <v>186</v>
      </c>
      <c r="C143" t="e">
        <f t="shared" si="18"/>
        <v>#VALUE!</v>
      </c>
      <c r="D143" t="e">
        <f t="shared" si="19"/>
        <v>#VALUE!</v>
      </c>
      <c r="E143" t="e">
        <f t="shared" si="20"/>
        <v>#VALUE!</v>
      </c>
      <c r="F143" t="e">
        <f t="shared" si="21"/>
        <v>#VALUE!</v>
      </c>
      <c r="G143" t="e">
        <f t="shared" si="22"/>
        <v>#VALUE!</v>
      </c>
      <c r="H143" t="e">
        <f t="shared" si="23"/>
        <v>#VALUE!</v>
      </c>
    </row>
    <row r="144" spans="1:8" x14ac:dyDescent="0.55000000000000004">
      <c r="A144">
        <v>811</v>
      </c>
      <c r="B144" s="2">
        <v>1704158031539600</v>
      </c>
      <c r="C144">
        <f t="shared" si="18"/>
        <v>2.3552693777298095E+33</v>
      </c>
      <c r="D144">
        <f t="shared" si="19"/>
        <v>2.3552693777298095E+33</v>
      </c>
      <c r="E144">
        <f t="shared" si="20"/>
        <v>0</v>
      </c>
      <c r="F144">
        <f t="shared" si="21"/>
        <v>0</v>
      </c>
      <c r="G144">
        <f t="shared" si="22"/>
        <v>1.3820721635786156E+18</v>
      </c>
      <c r="H144">
        <f t="shared" si="23"/>
        <v>4.8531117622921168E+16</v>
      </c>
    </row>
    <row r="145" spans="1:8" x14ac:dyDescent="0.55000000000000004">
      <c r="A145">
        <v>821</v>
      </c>
      <c r="B145" s="2" t="s">
        <v>186</v>
      </c>
      <c r="C145" t="e">
        <f t="shared" si="18"/>
        <v>#VALUE!</v>
      </c>
      <c r="D145" t="e">
        <f t="shared" si="19"/>
        <v>#VALUE!</v>
      </c>
      <c r="E145" t="e">
        <f t="shared" si="20"/>
        <v>#VALUE!</v>
      </c>
      <c r="F145" t="e">
        <f t="shared" si="21"/>
        <v>#VALUE!</v>
      </c>
      <c r="G145" t="e">
        <f t="shared" si="22"/>
        <v>#VALUE!</v>
      </c>
      <c r="H145" t="e">
        <f t="shared" si="23"/>
        <v>#VALUE!</v>
      </c>
    </row>
    <row r="146" spans="1:8" x14ac:dyDescent="0.55000000000000004">
      <c r="A146">
        <v>823</v>
      </c>
      <c r="B146" s="2">
        <v>15808576</v>
      </c>
      <c r="C146">
        <f t="shared" si="18"/>
        <v>2.056768148782368E+17</v>
      </c>
      <c r="D146">
        <f t="shared" si="19"/>
        <v>2.056768148150025E+17</v>
      </c>
      <c r="E146">
        <f t="shared" si="20"/>
        <v>1.5851080417633057E-2</v>
      </c>
      <c r="F146">
        <f t="shared" si="21"/>
        <v>0.94613546133041382</v>
      </c>
      <c r="G146">
        <f t="shared" si="22"/>
        <v>13010458049</v>
      </c>
      <c r="H146">
        <f t="shared" si="23"/>
        <v>453516058.01585102</v>
      </c>
    </row>
    <row r="147" spans="1:8" x14ac:dyDescent="0.55000000000000004">
      <c r="A147">
        <v>827</v>
      </c>
      <c r="B147" s="2">
        <v>1089</v>
      </c>
      <c r="C147">
        <f t="shared" si="18"/>
        <v>980758845</v>
      </c>
      <c r="D147">
        <f t="shared" si="19"/>
        <v>980754489</v>
      </c>
      <c r="E147">
        <f t="shared" si="20"/>
        <v>6.9546814240311505E-2</v>
      </c>
      <c r="F147">
        <f t="shared" si="21"/>
        <v>0</v>
      </c>
      <c r="G147">
        <f t="shared" si="22"/>
        <v>900602</v>
      </c>
      <c r="H147">
        <f t="shared" si="23"/>
        <v>31317</v>
      </c>
    </row>
    <row r="148" spans="1:8" x14ac:dyDescent="0.55000000000000004">
      <c r="A148">
        <v>829</v>
      </c>
      <c r="B148" s="2">
        <v>578812682450</v>
      </c>
      <c r="C148">
        <f t="shared" si="18"/>
        <v>2.7773499661155677E+26</v>
      </c>
      <c r="D148">
        <f t="shared" si="19"/>
        <v>2.7773499661155444E+26</v>
      </c>
      <c r="E148">
        <f t="shared" si="20"/>
        <v>7.03125E-2</v>
      </c>
      <c r="F148">
        <f t="shared" si="21"/>
        <v>0</v>
      </c>
      <c r="G148">
        <f t="shared" si="22"/>
        <v>479835713751049</v>
      </c>
      <c r="H148">
        <f t="shared" si="23"/>
        <v>16665383182260</v>
      </c>
    </row>
    <row r="149" spans="1:8" x14ac:dyDescent="0.55000000000000004">
      <c r="A149">
        <v>839</v>
      </c>
      <c r="B149" s="2">
        <v>1</v>
      </c>
      <c r="C149">
        <f t="shared" si="18"/>
        <v>841</v>
      </c>
      <c r="D149">
        <f t="shared" si="19"/>
        <v>837</v>
      </c>
      <c r="E149">
        <f t="shared" si="20"/>
        <v>0</v>
      </c>
      <c r="F149">
        <f t="shared" si="21"/>
        <v>0.93095228297886479</v>
      </c>
      <c r="G149">
        <f t="shared" si="22"/>
        <v>840</v>
      </c>
      <c r="H149">
        <f t="shared" si="23"/>
        <v>29</v>
      </c>
    </row>
    <row r="150" spans="1:8" x14ac:dyDescent="0.55000000000000004">
      <c r="A150">
        <v>853</v>
      </c>
      <c r="B150" s="2" t="s">
        <v>186</v>
      </c>
      <c r="C150" t="e">
        <f t="shared" si="18"/>
        <v>#VALUE!</v>
      </c>
      <c r="D150" t="e">
        <f t="shared" si="19"/>
        <v>#VALUE!</v>
      </c>
      <c r="E150" t="e">
        <f t="shared" si="20"/>
        <v>#VALUE!</v>
      </c>
      <c r="F150" t="e">
        <f t="shared" si="21"/>
        <v>#VALUE!</v>
      </c>
      <c r="G150" t="e">
        <f t="shared" si="22"/>
        <v>#VALUE!</v>
      </c>
      <c r="H150" t="e">
        <f t="shared" si="23"/>
        <v>#VALUE!</v>
      </c>
    </row>
    <row r="151" spans="1:8" x14ac:dyDescent="0.55000000000000004">
      <c r="A151">
        <v>857</v>
      </c>
      <c r="B151" s="2">
        <v>17139600</v>
      </c>
      <c r="C151">
        <f t="shared" si="18"/>
        <v>2.517573661873992E+17</v>
      </c>
      <c r="D151">
        <f t="shared" si="19"/>
        <v>2.517573661188408E+17</v>
      </c>
      <c r="E151">
        <f t="shared" si="20"/>
        <v>0.65870118141174316</v>
      </c>
      <c r="F151">
        <f t="shared" si="21"/>
        <v>0.59038245677947998</v>
      </c>
      <c r="G151">
        <f t="shared" si="22"/>
        <v>14688637201</v>
      </c>
      <c r="H151">
        <f t="shared" si="23"/>
        <v>501754288.65870118</v>
      </c>
    </row>
    <row r="152" spans="1:8" x14ac:dyDescent="0.55000000000000004">
      <c r="A152">
        <v>859</v>
      </c>
      <c r="B152" s="2">
        <v>44078711072400</v>
      </c>
      <c r="C152">
        <f t="shared" ref="C152:C171" si="24">B152*(B152*A152+2)</f>
        <v>1.6689792492617376E+30</v>
      </c>
      <c r="D152">
        <f t="shared" ref="D152:D171" si="25">B152*(B152*A152-2)</f>
        <v>1.6689792492617376E+30</v>
      </c>
      <c r="E152">
        <f t="shared" ref="E152:E171" si="26">SQRT(C152)-_xlfn.FLOOR.MATH(SQRT(C152))</f>
        <v>-3</v>
      </c>
      <c r="F152">
        <f t="shared" ref="F152:F171" si="27">SQRT(D152)-_xlfn.FLOOR.MATH(SQRT(D152))</f>
        <v>-3</v>
      </c>
      <c r="G152">
        <f t="shared" ref="G152:G171" si="28">IF(F152=0,B152*A152-1,B152*A152+1)</f>
        <v>3.78636128111916E+16</v>
      </c>
      <c r="H152">
        <f t="shared" ref="H152:H171" si="29">SQRT((G152*G152-1)/A152)</f>
        <v>1291889797645967</v>
      </c>
    </row>
    <row r="153" spans="1:8" x14ac:dyDescent="0.55000000000000004">
      <c r="A153">
        <v>863</v>
      </c>
      <c r="B153" s="2">
        <v>21464689</v>
      </c>
      <c r="C153">
        <f t="shared" si="24"/>
        <v>3.9761247018990963E+17</v>
      </c>
      <c r="D153">
        <f t="shared" si="25"/>
        <v>3.9761247010405082E+17</v>
      </c>
      <c r="E153">
        <f t="shared" si="26"/>
        <v>0</v>
      </c>
      <c r="F153">
        <f t="shared" si="27"/>
        <v>0.93191921710968018</v>
      </c>
      <c r="G153">
        <f t="shared" si="28"/>
        <v>18524026608</v>
      </c>
      <c r="H153">
        <f t="shared" si="29"/>
        <v>630565199</v>
      </c>
    </row>
    <row r="154" spans="1:8" x14ac:dyDescent="0.55000000000000004">
      <c r="A154">
        <v>877</v>
      </c>
      <c r="B154" s="2">
        <v>132812402</v>
      </c>
      <c r="C154">
        <f t="shared" si="24"/>
        <v>1.5469520627899048E+19</v>
      </c>
      <c r="D154">
        <f t="shared" si="25"/>
        <v>1.5469520627367799E+19</v>
      </c>
      <c r="E154">
        <f t="shared" si="26"/>
        <v>6.7535400390625E-2</v>
      </c>
      <c r="F154">
        <f t="shared" si="27"/>
        <v>0</v>
      </c>
      <c r="G154">
        <f t="shared" si="28"/>
        <v>116476476553</v>
      </c>
      <c r="H154">
        <f t="shared" si="29"/>
        <v>3933131148</v>
      </c>
    </row>
    <row r="155" spans="1:8" x14ac:dyDescent="0.55000000000000004">
      <c r="A155">
        <v>881</v>
      </c>
      <c r="B155" s="2">
        <v>2</v>
      </c>
      <c r="C155">
        <f t="shared" si="24"/>
        <v>3528</v>
      </c>
      <c r="D155">
        <f t="shared" si="25"/>
        <v>3520</v>
      </c>
      <c r="E155">
        <f t="shared" si="26"/>
        <v>0.39696961966998856</v>
      </c>
      <c r="F155">
        <f t="shared" si="27"/>
        <v>0.32958789676530387</v>
      </c>
      <c r="G155">
        <f t="shared" si="28"/>
        <v>1763</v>
      </c>
      <c r="H155">
        <f t="shared" si="29"/>
        <v>59.396969619669989</v>
      </c>
    </row>
    <row r="156" spans="1:8" x14ac:dyDescent="0.55000000000000004">
      <c r="A156">
        <v>883</v>
      </c>
      <c r="B156" s="2">
        <v>7056</v>
      </c>
      <c r="C156">
        <f t="shared" si="24"/>
        <v>43962055200</v>
      </c>
      <c r="D156">
        <f t="shared" si="25"/>
        <v>43962026976</v>
      </c>
      <c r="E156">
        <f t="shared" si="26"/>
        <v>0.30275743507081643</v>
      </c>
      <c r="F156">
        <f t="shared" si="27"/>
        <v>0.23545207624556497</v>
      </c>
      <c r="G156">
        <f t="shared" si="28"/>
        <v>6230449</v>
      </c>
      <c r="H156">
        <f t="shared" si="29"/>
        <v>209671.30275743507</v>
      </c>
    </row>
    <row r="157" spans="1:8" x14ac:dyDescent="0.55000000000000004">
      <c r="A157">
        <v>887</v>
      </c>
      <c r="B157" s="2">
        <v>529</v>
      </c>
      <c r="C157">
        <f t="shared" si="24"/>
        <v>248220025</v>
      </c>
      <c r="D157">
        <f t="shared" si="25"/>
        <v>248217909</v>
      </c>
      <c r="E157">
        <f t="shared" si="26"/>
        <v>0</v>
      </c>
      <c r="F157">
        <f t="shared" si="27"/>
        <v>0.93284657221192901</v>
      </c>
      <c r="G157">
        <f t="shared" si="28"/>
        <v>469224</v>
      </c>
      <c r="H157">
        <f t="shared" si="29"/>
        <v>15755</v>
      </c>
    </row>
    <row r="158" spans="1:8" x14ac:dyDescent="0.55000000000000004">
      <c r="A158">
        <v>907</v>
      </c>
      <c r="B158" s="2" t="s">
        <v>186</v>
      </c>
      <c r="C158" t="e">
        <f t="shared" si="24"/>
        <v>#VALUE!</v>
      </c>
      <c r="D158" t="e">
        <f t="shared" si="25"/>
        <v>#VALUE!</v>
      </c>
      <c r="E158" t="e">
        <f t="shared" si="26"/>
        <v>#VALUE!</v>
      </c>
      <c r="F158" t="e">
        <f t="shared" si="27"/>
        <v>#VALUE!</v>
      </c>
      <c r="G158" t="e">
        <f t="shared" si="28"/>
        <v>#VALUE!</v>
      </c>
      <c r="H158" t="e">
        <f t="shared" si="29"/>
        <v>#VALUE!</v>
      </c>
    </row>
    <row r="159" spans="1:8" x14ac:dyDescent="0.55000000000000004">
      <c r="A159">
        <v>911</v>
      </c>
      <c r="B159" s="2">
        <v>408158710129</v>
      </c>
      <c r="C159">
        <f t="shared" si="24"/>
        <v>1.5176670824794882E+26</v>
      </c>
      <c r="D159">
        <f t="shared" si="25"/>
        <v>1.5176670824794719E+26</v>
      </c>
      <c r="E159">
        <f t="shared" si="26"/>
        <v>0</v>
      </c>
      <c r="F159">
        <f t="shared" si="27"/>
        <v>0.93359375</v>
      </c>
      <c r="G159">
        <f t="shared" si="28"/>
        <v>371832584927520</v>
      </c>
      <c r="H159">
        <f t="shared" si="29"/>
        <v>12319363142953</v>
      </c>
    </row>
    <row r="160" spans="1:8" x14ac:dyDescent="0.55000000000000004">
      <c r="A160">
        <v>919</v>
      </c>
      <c r="B160" s="2" t="s">
        <v>186</v>
      </c>
      <c r="C160" t="e">
        <f t="shared" si="24"/>
        <v>#VALUE!</v>
      </c>
      <c r="D160" t="e">
        <f t="shared" si="25"/>
        <v>#VALUE!</v>
      </c>
      <c r="E160" t="e">
        <f t="shared" si="26"/>
        <v>#VALUE!</v>
      </c>
      <c r="F160" t="e">
        <f t="shared" si="27"/>
        <v>#VALUE!</v>
      </c>
      <c r="G160" t="e">
        <f t="shared" si="28"/>
        <v>#VALUE!</v>
      </c>
      <c r="H160" t="e">
        <f t="shared" si="29"/>
        <v>#VALUE!</v>
      </c>
    </row>
    <row r="161" spans="1:8" x14ac:dyDescent="0.55000000000000004">
      <c r="A161">
        <v>929</v>
      </c>
      <c r="B161" s="2">
        <v>1254693997155600</v>
      </c>
      <c r="C161">
        <f t="shared" si="24"/>
        <v>1.4624847776169176E+33</v>
      </c>
      <c r="D161">
        <f t="shared" si="25"/>
        <v>1.4624847776169176E+33</v>
      </c>
      <c r="E161">
        <f t="shared" si="26"/>
        <v>0</v>
      </c>
      <c r="F161">
        <f t="shared" si="27"/>
        <v>0</v>
      </c>
      <c r="G161">
        <f t="shared" si="28"/>
        <v>1.1656107233575524E+18</v>
      </c>
      <c r="H161">
        <f t="shared" si="29"/>
        <v>3.8242447327765488E+16</v>
      </c>
    </row>
    <row r="162" spans="1:8" x14ac:dyDescent="0.55000000000000004">
      <c r="A162">
        <v>937</v>
      </c>
      <c r="B162" s="2">
        <v>982572597504</v>
      </c>
      <c r="C162">
        <f t="shared" si="24"/>
        <v>9.0462562807571686E+26</v>
      </c>
      <c r="D162">
        <f t="shared" si="25"/>
        <v>9.0462562807571287E+26</v>
      </c>
      <c r="E162">
        <f t="shared" si="26"/>
        <v>0.78125</v>
      </c>
      <c r="F162">
        <f t="shared" si="27"/>
        <v>0.71484375</v>
      </c>
      <c r="G162">
        <f t="shared" si="28"/>
        <v>920670523861249</v>
      </c>
      <c r="H162">
        <f t="shared" si="29"/>
        <v>30076994997434.777</v>
      </c>
    </row>
    <row r="163" spans="1:8" x14ac:dyDescent="0.55000000000000004">
      <c r="A163">
        <v>941</v>
      </c>
      <c r="B163" s="2">
        <v>1889294234256</v>
      </c>
      <c r="C163">
        <f t="shared" si="24"/>
        <v>3.3588361740809842E+27</v>
      </c>
      <c r="D163">
        <f t="shared" si="25"/>
        <v>3.3588361740809765E+27</v>
      </c>
      <c r="E163">
        <f t="shared" si="26"/>
        <v>0.9375</v>
      </c>
      <c r="F163">
        <f t="shared" si="27"/>
        <v>0.8671875</v>
      </c>
      <c r="G163">
        <f t="shared" si="28"/>
        <v>1777825874434897</v>
      </c>
      <c r="H163">
        <f t="shared" si="29"/>
        <v>57955467162994.938</v>
      </c>
    </row>
    <row r="164" spans="1:8" x14ac:dyDescent="0.55000000000000004">
      <c r="A164">
        <v>947</v>
      </c>
      <c r="B164" s="2">
        <v>14265729</v>
      </c>
      <c r="C164">
        <f t="shared" si="24"/>
        <v>1.927249396631961E+17</v>
      </c>
      <c r="D164">
        <f t="shared" si="25"/>
        <v>1.9272493960613318E+17</v>
      </c>
      <c r="E164">
        <f t="shared" si="26"/>
        <v>6.4991295337677002E-2</v>
      </c>
      <c r="F164">
        <f t="shared" si="27"/>
        <v>0</v>
      </c>
      <c r="G164">
        <f t="shared" si="28"/>
        <v>13509645362</v>
      </c>
      <c r="H164">
        <f t="shared" si="29"/>
        <v>439004487</v>
      </c>
    </row>
    <row r="165" spans="1:8" x14ac:dyDescent="0.55000000000000004">
      <c r="A165">
        <v>953</v>
      </c>
      <c r="B165" s="2">
        <v>1.58347658380486E+16</v>
      </c>
      <c r="C165">
        <f t="shared" si="24"/>
        <v>2.3895503811597694E+35</v>
      </c>
      <c r="D165">
        <f t="shared" si="25"/>
        <v>2.3895503811597694E+35</v>
      </c>
      <c r="E165">
        <f t="shared" si="26"/>
        <v>0</v>
      </c>
      <c r="F165">
        <f t="shared" si="27"/>
        <v>0</v>
      </c>
      <c r="G165">
        <f t="shared" si="28"/>
        <v>1.5090531843660317E+19</v>
      </c>
      <c r="H165">
        <f t="shared" si="29"/>
        <v>4.8883027536761363E+17</v>
      </c>
    </row>
    <row r="166" spans="1:8" x14ac:dyDescent="0.55000000000000004">
      <c r="A166">
        <v>967</v>
      </c>
      <c r="B166" s="2">
        <v>7744</v>
      </c>
      <c r="C166">
        <f t="shared" si="24"/>
        <v>57990556800</v>
      </c>
      <c r="D166">
        <f t="shared" si="25"/>
        <v>57990525824</v>
      </c>
      <c r="E166">
        <f t="shared" si="26"/>
        <v>0.28540089062880725</v>
      </c>
      <c r="F166">
        <f t="shared" si="27"/>
        <v>0.22108522648341022</v>
      </c>
      <c r="G166">
        <f t="shared" si="28"/>
        <v>7488449</v>
      </c>
      <c r="H166">
        <f t="shared" si="29"/>
        <v>240812.28540089063</v>
      </c>
    </row>
    <row r="167" spans="1:8" x14ac:dyDescent="0.55000000000000004">
      <c r="A167">
        <v>971</v>
      </c>
      <c r="B167" s="2">
        <v>12852530161</v>
      </c>
      <c r="C167">
        <f t="shared" si="24"/>
        <v>1.6039709312479735E+23</v>
      </c>
      <c r="D167">
        <f t="shared" si="25"/>
        <v>1.6039709312474595E+23</v>
      </c>
      <c r="E167">
        <f t="shared" si="26"/>
        <v>6.414794921875E-2</v>
      </c>
      <c r="F167">
        <f t="shared" si="27"/>
        <v>0</v>
      </c>
      <c r="G167">
        <f t="shared" si="28"/>
        <v>12479806786330</v>
      </c>
      <c r="H167">
        <f t="shared" si="29"/>
        <v>400496058813</v>
      </c>
    </row>
    <row r="168" spans="1:8" x14ac:dyDescent="0.55000000000000004">
      <c r="A168">
        <v>977</v>
      </c>
      <c r="B168" s="2">
        <v>4802</v>
      </c>
      <c r="C168">
        <f t="shared" si="24"/>
        <v>22528851912</v>
      </c>
      <c r="D168">
        <f t="shared" si="25"/>
        <v>22528832704</v>
      </c>
      <c r="E168">
        <f t="shared" si="26"/>
        <v>0.14222890607197769</v>
      </c>
      <c r="F168">
        <f t="shared" si="27"/>
        <v>7.8243237250717357E-2</v>
      </c>
      <c r="G168">
        <f t="shared" si="28"/>
        <v>4691555</v>
      </c>
      <c r="H168">
        <f t="shared" si="29"/>
        <v>150096.14222890607</v>
      </c>
    </row>
    <row r="169" spans="1:8" x14ac:dyDescent="0.55000000000000004">
      <c r="A169">
        <v>983</v>
      </c>
      <c r="B169" s="2">
        <v>289</v>
      </c>
      <c r="C169">
        <f t="shared" si="24"/>
        <v>82101721</v>
      </c>
      <c r="D169">
        <f t="shared" si="25"/>
        <v>82100565</v>
      </c>
      <c r="E169">
        <f t="shared" si="26"/>
        <v>0</v>
      </c>
      <c r="F169">
        <f t="shared" si="27"/>
        <v>0.93620990678937233</v>
      </c>
      <c r="G169">
        <f t="shared" si="28"/>
        <v>284088</v>
      </c>
      <c r="H169">
        <f t="shared" si="29"/>
        <v>9061</v>
      </c>
    </row>
    <row r="170" spans="1:8" x14ac:dyDescent="0.55000000000000004">
      <c r="A170">
        <v>991</v>
      </c>
      <c r="B170" s="2" t="s">
        <v>186</v>
      </c>
      <c r="C170" t="e">
        <f t="shared" si="24"/>
        <v>#VALUE!</v>
      </c>
      <c r="D170" t="e">
        <f t="shared" si="25"/>
        <v>#VALUE!</v>
      </c>
      <c r="E170" t="e">
        <f t="shared" si="26"/>
        <v>#VALUE!</v>
      </c>
      <c r="F170" t="e">
        <f t="shared" si="27"/>
        <v>#VALUE!</v>
      </c>
      <c r="G170" t="e">
        <f t="shared" si="28"/>
        <v>#VALUE!</v>
      </c>
      <c r="H170" t="e">
        <f t="shared" si="29"/>
        <v>#VALUE!</v>
      </c>
    </row>
    <row r="171" spans="1:8" x14ac:dyDescent="0.55000000000000004">
      <c r="A171">
        <v>997</v>
      </c>
      <c r="B171" s="2">
        <v>14461442</v>
      </c>
      <c r="C171">
        <f t="shared" si="24"/>
        <v>2.085059048341288E+17</v>
      </c>
      <c r="D171">
        <f t="shared" si="25"/>
        <v>2.0850590477628301E+17</v>
      </c>
      <c r="E171">
        <f t="shared" si="26"/>
        <v>6.3340663909912109E-2</v>
      </c>
      <c r="F171">
        <f t="shared" si="27"/>
        <v>0</v>
      </c>
      <c r="G171">
        <f t="shared" si="28"/>
        <v>14418057673</v>
      </c>
      <c r="H171">
        <f t="shared" si="29"/>
        <v>456624468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93EC-F2E3-4848-BD29-CE38EA57B900}">
  <dimension ref="A1:Q26"/>
  <sheetViews>
    <sheetView topLeftCell="B1" workbookViewId="0">
      <selection activeCell="E30" sqref="E30"/>
    </sheetView>
  </sheetViews>
  <sheetFormatPr defaultRowHeight="15.7" x14ac:dyDescent="0.55000000000000004"/>
  <cols>
    <col min="5" max="5" width="20.7890625" customWidth="1"/>
    <col min="6" max="6" width="18.89453125" customWidth="1"/>
  </cols>
  <sheetData>
    <row r="1" spans="1:17" x14ac:dyDescent="0.55000000000000004">
      <c r="C1" t="s">
        <v>1</v>
      </c>
      <c r="D1">
        <v>2</v>
      </c>
    </row>
    <row r="2" spans="1:17" x14ac:dyDescent="0.55000000000000004">
      <c r="A2" t="s">
        <v>4</v>
      </c>
      <c r="B2" t="s">
        <v>3</v>
      </c>
      <c r="C2" t="s">
        <v>0</v>
      </c>
      <c r="D2" t="s">
        <v>2</v>
      </c>
      <c r="E2" t="s">
        <v>5</v>
      </c>
      <c r="F2" t="s">
        <v>6</v>
      </c>
      <c r="N2" t="s">
        <v>5</v>
      </c>
      <c r="O2" t="s">
        <v>0</v>
      </c>
      <c r="P2" t="s">
        <v>15</v>
      </c>
      <c r="Q2" t="s">
        <v>16</v>
      </c>
    </row>
    <row r="3" spans="1:17" x14ac:dyDescent="0.55000000000000004">
      <c r="C3">
        <f>D$1*D3*D3+1</f>
        <v>3</v>
      </c>
      <c r="D3">
        <v>1</v>
      </c>
      <c r="E3" s="1">
        <f>SQRT(C3)</f>
        <v>1.7320508075688772</v>
      </c>
      <c r="F3" s="1"/>
      <c r="G3" t="s">
        <v>7</v>
      </c>
      <c r="N3">
        <v>1</v>
      </c>
      <c r="O3">
        <f>N3*N3</f>
        <v>1</v>
      </c>
    </row>
    <row r="4" spans="1:17" x14ac:dyDescent="0.55000000000000004">
      <c r="B4">
        <f>C4-C3</f>
        <v>6</v>
      </c>
      <c r="C4">
        <f>D$1*D4*D4+1</f>
        <v>9</v>
      </c>
      <c r="D4">
        <v>2</v>
      </c>
      <c r="E4" s="1">
        <f t="shared" ref="E4:E22" si="0">SQRT(C4)</f>
        <v>3</v>
      </c>
      <c r="F4" s="1">
        <f>E4-E3</f>
        <v>1.2679491924311228</v>
      </c>
      <c r="N4">
        <v>2</v>
      </c>
      <c r="O4">
        <f t="shared" ref="O4:O19" si="1">N4*N4</f>
        <v>4</v>
      </c>
      <c r="P4">
        <f>O4-O3</f>
        <v>3</v>
      </c>
    </row>
    <row r="5" spans="1:17" x14ac:dyDescent="0.55000000000000004">
      <c r="A5">
        <f>B5-B4</f>
        <v>4</v>
      </c>
      <c r="B5">
        <f t="shared" ref="B5:B22" si="2">C5-C4</f>
        <v>10</v>
      </c>
      <c r="C5">
        <f t="shared" ref="C5:C22" si="3">D$1*D5*D5+1</f>
        <v>19</v>
      </c>
      <c r="D5">
        <v>3</v>
      </c>
      <c r="E5" s="1">
        <f t="shared" si="0"/>
        <v>4.358898943540674</v>
      </c>
      <c r="F5" s="1">
        <f t="shared" ref="F5:F22" si="4">E5-E4</f>
        <v>1.358898943540674</v>
      </c>
      <c r="N5">
        <v>3</v>
      </c>
      <c r="O5">
        <f t="shared" si="1"/>
        <v>9</v>
      </c>
      <c r="P5">
        <f t="shared" ref="P5:Q8" si="5">O5-O4</f>
        <v>5</v>
      </c>
      <c r="Q5">
        <f>P5-P4</f>
        <v>2</v>
      </c>
    </row>
    <row r="6" spans="1:17" x14ac:dyDescent="0.55000000000000004">
      <c r="A6">
        <f t="shared" ref="A6:A22" si="6">B6-B5</f>
        <v>4</v>
      </c>
      <c r="B6">
        <f t="shared" si="2"/>
        <v>14</v>
      </c>
      <c r="C6">
        <f t="shared" si="3"/>
        <v>33</v>
      </c>
      <c r="D6">
        <v>4</v>
      </c>
      <c r="E6" s="1">
        <f t="shared" si="0"/>
        <v>5.7445626465380286</v>
      </c>
      <c r="F6" s="1">
        <f t="shared" si="4"/>
        <v>1.3856637029973546</v>
      </c>
      <c r="N6">
        <v>4</v>
      </c>
      <c r="O6">
        <f t="shared" si="1"/>
        <v>16</v>
      </c>
      <c r="P6">
        <f t="shared" si="5"/>
        <v>7</v>
      </c>
      <c r="Q6">
        <f t="shared" si="5"/>
        <v>2</v>
      </c>
    </row>
    <row r="7" spans="1:17" x14ac:dyDescent="0.55000000000000004">
      <c r="A7">
        <f t="shared" si="6"/>
        <v>4</v>
      </c>
      <c r="B7">
        <f t="shared" si="2"/>
        <v>18</v>
      </c>
      <c r="C7">
        <f t="shared" si="3"/>
        <v>51</v>
      </c>
      <c r="D7">
        <v>5</v>
      </c>
      <c r="E7" s="1">
        <f t="shared" si="0"/>
        <v>7.1414284285428504</v>
      </c>
      <c r="F7" s="1">
        <f t="shared" si="4"/>
        <v>1.3968657820048218</v>
      </c>
      <c r="N7">
        <v>5</v>
      </c>
      <c r="O7">
        <f t="shared" si="1"/>
        <v>25</v>
      </c>
      <c r="P7">
        <f t="shared" si="5"/>
        <v>9</v>
      </c>
      <c r="Q7">
        <f t="shared" si="5"/>
        <v>2</v>
      </c>
    </row>
    <row r="8" spans="1:17" x14ac:dyDescent="0.55000000000000004">
      <c r="A8">
        <f t="shared" si="6"/>
        <v>4</v>
      </c>
      <c r="B8">
        <f t="shared" si="2"/>
        <v>22</v>
      </c>
      <c r="C8">
        <f t="shared" si="3"/>
        <v>73</v>
      </c>
      <c r="D8">
        <v>6</v>
      </c>
      <c r="E8" s="1">
        <f t="shared" si="0"/>
        <v>8.5440037453175304</v>
      </c>
      <c r="F8" s="1">
        <f t="shared" si="4"/>
        <v>1.4025753167746799</v>
      </c>
      <c r="N8">
        <v>6</v>
      </c>
      <c r="O8">
        <f t="shared" si="1"/>
        <v>36</v>
      </c>
      <c r="P8">
        <f t="shared" si="5"/>
        <v>11</v>
      </c>
      <c r="Q8">
        <f t="shared" si="5"/>
        <v>2</v>
      </c>
    </row>
    <row r="9" spans="1:17" x14ac:dyDescent="0.55000000000000004">
      <c r="A9">
        <f t="shared" si="6"/>
        <v>4</v>
      </c>
      <c r="B9">
        <f t="shared" si="2"/>
        <v>26</v>
      </c>
      <c r="C9">
        <f t="shared" si="3"/>
        <v>99</v>
      </c>
      <c r="D9">
        <v>7</v>
      </c>
      <c r="E9" s="1">
        <f t="shared" si="0"/>
        <v>9.9498743710661994</v>
      </c>
      <c r="F9" s="1">
        <f t="shared" si="4"/>
        <v>1.4058706257486691</v>
      </c>
      <c r="N9">
        <v>7</v>
      </c>
      <c r="O9">
        <f t="shared" si="1"/>
        <v>49</v>
      </c>
      <c r="P9">
        <f t="shared" ref="P9:Q9" si="7">O9-O8</f>
        <v>13</v>
      </c>
      <c r="Q9">
        <f t="shared" si="7"/>
        <v>2</v>
      </c>
    </row>
    <row r="10" spans="1:17" x14ac:dyDescent="0.55000000000000004">
      <c r="A10">
        <f t="shared" si="6"/>
        <v>4</v>
      </c>
      <c r="B10">
        <f t="shared" si="2"/>
        <v>30</v>
      </c>
      <c r="C10">
        <f t="shared" si="3"/>
        <v>129</v>
      </c>
      <c r="D10">
        <v>8</v>
      </c>
      <c r="E10" s="1">
        <f t="shared" si="0"/>
        <v>11.357816691600547</v>
      </c>
      <c r="F10" s="1">
        <f t="shared" si="4"/>
        <v>1.4079423205343478</v>
      </c>
      <c r="N10">
        <v>8</v>
      </c>
      <c r="O10">
        <f t="shared" si="1"/>
        <v>64</v>
      </c>
      <c r="P10">
        <f t="shared" ref="P10:Q10" si="8">O10-O9</f>
        <v>15</v>
      </c>
      <c r="Q10">
        <f t="shared" si="8"/>
        <v>2</v>
      </c>
    </row>
    <row r="11" spans="1:17" x14ac:dyDescent="0.55000000000000004">
      <c r="A11">
        <f t="shared" si="6"/>
        <v>4</v>
      </c>
      <c r="B11">
        <f t="shared" si="2"/>
        <v>34</v>
      </c>
      <c r="C11">
        <f t="shared" si="3"/>
        <v>163</v>
      </c>
      <c r="D11">
        <v>9</v>
      </c>
      <c r="E11" s="1">
        <f t="shared" si="0"/>
        <v>12.767145334803704</v>
      </c>
      <c r="F11" s="1">
        <f t="shared" si="4"/>
        <v>1.4093286432031569</v>
      </c>
      <c r="N11">
        <v>9</v>
      </c>
      <c r="O11">
        <f t="shared" si="1"/>
        <v>81</v>
      </c>
      <c r="P11">
        <f t="shared" ref="P11:Q11" si="9">O11-O10</f>
        <v>17</v>
      </c>
      <c r="Q11">
        <f t="shared" si="9"/>
        <v>2</v>
      </c>
    </row>
    <row r="12" spans="1:17" x14ac:dyDescent="0.55000000000000004">
      <c r="A12">
        <f t="shared" si="6"/>
        <v>4</v>
      </c>
      <c r="B12">
        <f t="shared" si="2"/>
        <v>38</v>
      </c>
      <c r="C12">
        <f t="shared" si="3"/>
        <v>201</v>
      </c>
      <c r="D12">
        <v>10</v>
      </c>
      <c r="E12" s="1">
        <f t="shared" si="0"/>
        <v>14.177446878757825</v>
      </c>
      <c r="F12" s="1">
        <f t="shared" si="4"/>
        <v>1.4103015439541213</v>
      </c>
      <c r="N12">
        <v>10</v>
      </c>
      <c r="O12">
        <f t="shared" si="1"/>
        <v>100</v>
      </c>
      <c r="P12">
        <f t="shared" ref="P12:Q12" si="10">O12-O11</f>
        <v>19</v>
      </c>
      <c r="Q12">
        <f t="shared" si="10"/>
        <v>2</v>
      </c>
    </row>
    <row r="13" spans="1:17" x14ac:dyDescent="0.55000000000000004">
      <c r="A13">
        <f t="shared" si="6"/>
        <v>4</v>
      </c>
      <c r="B13">
        <f t="shared" si="2"/>
        <v>42</v>
      </c>
      <c r="C13">
        <f t="shared" si="3"/>
        <v>243</v>
      </c>
      <c r="D13">
        <v>11</v>
      </c>
      <c r="E13" s="1">
        <f t="shared" si="0"/>
        <v>15.588457268119896</v>
      </c>
      <c r="F13" s="1">
        <f t="shared" si="4"/>
        <v>1.4110103893620707</v>
      </c>
      <c r="N13">
        <v>11</v>
      </c>
      <c r="O13">
        <f t="shared" si="1"/>
        <v>121</v>
      </c>
      <c r="P13">
        <f t="shared" ref="P13:Q13" si="11">O13-O12</f>
        <v>21</v>
      </c>
      <c r="Q13">
        <f t="shared" si="11"/>
        <v>2</v>
      </c>
    </row>
    <row r="14" spans="1:17" x14ac:dyDescent="0.55000000000000004">
      <c r="A14">
        <f t="shared" si="6"/>
        <v>4</v>
      </c>
      <c r="B14">
        <f t="shared" si="2"/>
        <v>46</v>
      </c>
      <c r="C14">
        <f t="shared" si="3"/>
        <v>289</v>
      </c>
      <c r="D14">
        <v>12</v>
      </c>
      <c r="E14" s="1">
        <f t="shared" si="0"/>
        <v>17</v>
      </c>
      <c r="F14" s="1">
        <f t="shared" si="4"/>
        <v>1.4115427318801039</v>
      </c>
      <c r="N14">
        <v>12</v>
      </c>
      <c r="O14">
        <f t="shared" si="1"/>
        <v>144</v>
      </c>
      <c r="P14">
        <f t="shared" ref="P14:Q14" si="12">O14-O13</f>
        <v>23</v>
      </c>
      <c r="Q14">
        <f t="shared" si="12"/>
        <v>2</v>
      </c>
    </row>
    <row r="15" spans="1:17" x14ac:dyDescent="0.55000000000000004">
      <c r="A15">
        <f t="shared" si="6"/>
        <v>4</v>
      </c>
      <c r="B15">
        <f t="shared" si="2"/>
        <v>50</v>
      </c>
      <c r="C15">
        <f t="shared" si="3"/>
        <v>339</v>
      </c>
      <c r="D15">
        <v>13</v>
      </c>
      <c r="E15" s="1">
        <f t="shared" si="0"/>
        <v>18.411952639521967</v>
      </c>
      <c r="F15" s="1">
        <f t="shared" si="4"/>
        <v>1.4119526395219673</v>
      </c>
      <c r="N15">
        <v>13</v>
      </c>
      <c r="O15">
        <f t="shared" si="1"/>
        <v>169</v>
      </c>
      <c r="P15">
        <f t="shared" ref="P15:Q15" si="13">O15-O14</f>
        <v>25</v>
      </c>
      <c r="Q15">
        <f t="shared" si="13"/>
        <v>2</v>
      </c>
    </row>
    <row r="16" spans="1:17" x14ac:dyDescent="0.55000000000000004">
      <c r="A16">
        <f t="shared" si="6"/>
        <v>4</v>
      </c>
      <c r="B16">
        <f t="shared" si="2"/>
        <v>54</v>
      </c>
      <c r="C16">
        <f t="shared" si="3"/>
        <v>393</v>
      </c>
      <c r="D16">
        <v>14</v>
      </c>
      <c r="E16" s="1">
        <f t="shared" si="0"/>
        <v>19.824227601599009</v>
      </c>
      <c r="F16" s="1">
        <f t="shared" si="4"/>
        <v>1.4122749620770421</v>
      </c>
      <c r="N16">
        <v>14</v>
      </c>
      <c r="O16">
        <f t="shared" si="1"/>
        <v>196</v>
      </c>
      <c r="P16">
        <f t="shared" ref="P16:Q16" si="14">O16-O15</f>
        <v>27</v>
      </c>
      <c r="Q16">
        <f t="shared" si="14"/>
        <v>2</v>
      </c>
    </row>
    <row r="17" spans="1:17" x14ac:dyDescent="0.55000000000000004">
      <c r="A17">
        <f t="shared" si="6"/>
        <v>4</v>
      </c>
      <c r="B17">
        <f t="shared" si="2"/>
        <v>58</v>
      </c>
      <c r="C17">
        <f t="shared" si="3"/>
        <v>451</v>
      </c>
      <c r="D17">
        <v>15</v>
      </c>
      <c r="E17" s="1">
        <f t="shared" si="0"/>
        <v>21.236760581595302</v>
      </c>
      <c r="F17" s="1">
        <f t="shared" si="4"/>
        <v>1.4125329799962927</v>
      </c>
      <c r="I17">
        <f>SQRT(D1)</f>
        <v>1.4142135623730951</v>
      </c>
      <c r="N17">
        <v>15</v>
      </c>
      <c r="O17">
        <f t="shared" si="1"/>
        <v>225</v>
      </c>
      <c r="P17">
        <f t="shared" ref="P17:Q17" si="15">O17-O16</f>
        <v>29</v>
      </c>
      <c r="Q17">
        <f t="shared" si="15"/>
        <v>2</v>
      </c>
    </row>
    <row r="18" spans="1:17" x14ac:dyDescent="0.55000000000000004">
      <c r="A18">
        <f t="shared" si="6"/>
        <v>4</v>
      </c>
      <c r="B18">
        <f t="shared" si="2"/>
        <v>62</v>
      </c>
      <c r="C18">
        <f t="shared" si="3"/>
        <v>513</v>
      </c>
      <c r="D18">
        <v>16</v>
      </c>
      <c r="E18" s="1">
        <f t="shared" si="0"/>
        <v>22.649503305812249</v>
      </c>
      <c r="F18" s="1">
        <f t="shared" si="4"/>
        <v>1.4127427242169475</v>
      </c>
      <c r="N18">
        <v>16</v>
      </c>
      <c r="O18">
        <f t="shared" si="1"/>
        <v>256</v>
      </c>
      <c r="P18">
        <f t="shared" ref="P18:Q18" si="16">O18-O17</f>
        <v>31</v>
      </c>
      <c r="Q18">
        <f t="shared" si="16"/>
        <v>2</v>
      </c>
    </row>
    <row r="19" spans="1:17" x14ac:dyDescent="0.55000000000000004">
      <c r="A19">
        <f t="shared" si="6"/>
        <v>4</v>
      </c>
      <c r="B19">
        <f t="shared" si="2"/>
        <v>66</v>
      </c>
      <c r="C19">
        <f t="shared" si="3"/>
        <v>579</v>
      </c>
      <c r="D19">
        <v>17</v>
      </c>
      <c r="E19" s="1">
        <f t="shared" si="0"/>
        <v>24.06241883103193</v>
      </c>
      <c r="F19" s="1">
        <f t="shared" si="4"/>
        <v>1.412915525219681</v>
      </c>
      <c r="N19">
        <v>17</v>
      </c>
      <c r="O19">
        <f t="shared" si="1"/>
        <v>289</v>
      </c>
      <c r="P19">
        <f t="shared" ref="P19:Q19" si="17">O19-O18</f>
        <v>33</v>
      </c>
      <c r="Q19">
        <f t="shared" si="17"/>
        <v>2</v>
      </c>
    </row>
    <row r="20" spans="1:17" x14ac:dyDescent="0.55000000000000004">
      <c r="A20">
        <f t="shared" si="6"/>
        <v>4</v>
      </c>
      <c r="B20">
        <f t="shared" si="2"/>
        <v>70</v>
      </c>
      <c r="C20">
        <f t="shared" si="3"/>
        <v>649</v>
      </c>
      <c r="D20">
        <v>18</v>
      </c>
      <c r="E20" s="1">
        <f t="shared" si="0"/>
        <v>25.475478405713993</v>
      </c>
      <c r="F20" s="1">
        <f t="shared" si="4"/>
        <v>1.4130595746820624</v>
      </c>
    </row>
    <row r="21" spans="1:17" x14ac:dyDescent="0.55000000000000004">
      <c r="A21">
        <f t="shared" si="6"/>
        <v>4</v>
      </c>
      <c r="B21">
        <f t="shared" si="2"/>
        <v>74</v>
      </c>
      <c r="C21">
        <f t="shared" si="3"/>
        <v>723</v>
      </c>
      <c r="D21">
        <v>19</v>
      </c>
      <c r="E21" s="1">
        <f t="shared" si="0"/>
        <v>26.888659319497503</v>
      </c>
      <c r="F21" s="1">
        <f t="shared" si="4"/>
        <v>1.4131809137835099</v>
      </c>
    </row>
    <row r="22" spans="1:17" x14ac:dyDescent="0.55000000000000004">
      <c r="A22">
        <f t="shared" si="6"/>
        <v>4</v>
      </c>
      <c r="B22">
        <f t="shared" si="2"/>
        <v>78</v>
      </c>
      <c r="C22">
        <f t="shared" si="3"/>
        <v>801</v>
      </c>
      <c r="D22">
        <v>20</v>
      </c>
      <c r="E22" s="1">
        <f t="shared" si="0"/>
        <v>28.301943396169811</v>
      </c>
      <c r="F22" s="1">
        <f t="shared" si="4"/>
        <v>1.4132840766723085</v>
      </c>
      <c r="H22" t="s">
        <v>8</v>
      </c>
    </row>
    <row r="23" spans="1:17" x14ac:dyDescent="0.55000000000000004">
      <c r="E23" s="1"/>
      <c r="F23" s="1"/>
      <c r="H23" t="s">
        <v>9</v>
      </c>
    </row>
    <row r="24" spans="1:17" x14ac:dyDescent="0.55000000000000004">
      <c r="H24" t="s">
        <v>10</v>
      </c>
    </row>
    <row r="25" spans="1:17" x14ac:dyDescent="0.55000000000000004">
      <c r="H25" t="s">
        <v>11</v>
      </c>
    </row>
    <row r="26" spans="1:17" x14ac:dyDescent="0.55000000000000004">
      <c r="H26" t="s">
        <v>12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00EDA-EC7B-41E7-9E59-485EEF342085}">
  <dimension ref="B1:E25"/>
  <sheetViews>
    <sheetView workbookViewId="0">
      <selection activeCell="H1" sqref="H1"/>
    </sheetView>
  </sheetViews>
  <sheetFormatPr defaultRowHeight="15.7" x14ac:dyDescent="0.55000000000000004"/>
  <sheetData>
    <row r="1" spans="2:5" x14ac:dyDescent="0.55000000000000004">
      <c r="B1" t="s">
        <v>5</v>
      </c>
      <c r="C1" t="s">
        <v>13</v>
      </c>
      <c r="D1" t="s">
        <v>14</v>
      </c>
    </row>
    <row r="2" spans="2:5" x14ac:dyDescent="0.55000000000000004">
      <c r="B2">
        <v>1</v>
      </c>
      <c r="C2">
        <f>B2*B2</f>
        <v>1</v>
      </c>
    </row>
    <row r="3" spans="2:5" x14ac:dyDescent="0.55000000000000004">
      <c r="B3">
        <v>2</v>
      </c>
      <c r="C3">
        <f t="shared" ref="C3:C25" si="0">B3*B3</f>
        <v>4</v>
      </c>
      <c r="D3">
        <f>C3-C2</f>
        <v>3</v>
      </c>
    </row>
    <row r="4" spans="2:5" x14ac:dyDescent="0.55000000000000004">
      <c r="B4">
        <v>3</v>
      </c>
      <c r="C4">
        <f t="shared" si="0"/>
        <v>9</v>
      </c>
      <c r="D4">
        <f t="shared" ref="D4:E24" si="1">C4-C3</f>
        <v>5</v>
      </c>
      <c r="E4">
        <f>D4-D3</f>
        <v>2</v>
      </c>
    </row>
    <row r="5" spans="2:5" x14ac:dyDescent="0.55000000000000004">
      <c r="B5">
        <v>4</v>
      </c>
      <c r="C5">
        <f t="shared" si="0"/>
        <v>16</v>
      </c>
      <c r="D5">
        <f t="shared" si="1"/>
        <v>7</v>
      </c>
      <c r="E5">
        <f t="shared" si="1"/>
        <v>2</v>
      </c>
    </row>
    <row r="6" spans="2:5" x14ac:dyDescent="0.55000000000000004">
      <c r="B6">
        <v>5</v>
      </c>
      <c r="C6">
        <f t="shared" si="0"/>
        <v>25</v>
      </c>
      <c r="D6">
        <f t="shared" si="1"/>
        <v>9</v>
      </c>
      <c r="E6">
        <f t="shared" si="1"/>
        <v>2</v>
      </c>
    </row>
    <row r="7" spans="2:5" x14ac:dyDescent="0.55000000000000004">
      <c r="B7">
        <v>6</v>
      </c>
      <c r="C7">
        <f t="shared" si="0"/>
        <v>36</v>
      </c>
      <c r="D7">
        <f t="shared" si="1"/>
        <v>11</v>
      </c>
      <c r="E7">
        <f t="shared" si="1"/>
        <v>2</v>
      </c>
    </row>
    <row r="8" spans="2:5" x14ac:dyDescent="0.55000000000000004">
      <c r="B8">
        <v>7</v>
      </c>
      <c r="C8">
        <f t="shared" si="0"/>
        <v>49</v>
      </c>
      <c r="D8">
        <f t="shared" si="1"/>
        <v>13</v>
      </c>
      <c r="E8">
        <f t="shared" si="1"/>
        <v>2</v>
      </c>
    </row>
    <row r="9" spans="2:5" x14ac:dyDescent="0.55000000000000004">
      <c r="B9">
        <v>8</v>
      </c>
      <c r="C9">
        <f t="shared" si="0"/>
        <v>64</v>
      </c>
      <c r="D9">
        <f t="shared" si="1"/>
        <v>15</v>
      </c>
      <c r="E9">
        <f t="shared" si="1"/>
        <v>2</v>
      </c>
    </row>
    <row r="10" spans="2:5" x14ac:dyDescent="0.55000000000000004">
      <c r="B10">
        <v>9</v>
      </c>
      <c r="C10">
        <f t="shared" si="0"/>
        <v>81</v>
      </c>
      <c r="D10">
        <f t="shared" si="1"/>
        <v>17</v>
      </c>
      <c r="E10">
        <f t="shared" si="1"/>
        <v>2</v>
      </c>
    </row>
    <row r="11" spans="2:5" x14ac:dyDescent="0.55000000000000004">
      <c r="B11">
        <v>10</v>
      </c>
      <c r="C11">
        <f t="shared" si="0"/>
        <v>100</v>
      </c>
      <c r="D11">
        <f t="shared" si="1"/>
        <v>19</v>
      </c>
      <c r="E11">
        <f t="shared" si="1"/>
        <v>2</v>
      </c>
    </row>
    <row r="12" spans="2:5" x14ac:dyDescent="0.55000000000000004">
      <c r="B12">
        <v>11</v>
      </c>
      <c r="C12">
        <f t="shared" si="0"/>
        <v>121</v>
      </c>
      <c r="D12">
        <f t="shared" si="1"/>
        <v>21</v>
      </c>
      <c r="E12">
        <f t="shared" si="1"/>
        <v>2</v>
      </c>
    </row>
    <row r="13" spans="2:5" x14ac:dyDescent="0.55000000000000004">
      <c r="B13">
        <v>12</v>
      </c>
      <c r="C13">
        <f t="shared" si="0"/>
        <v>144</v>
      </c>
      <c r="D13">
        <f t="shared" si="1"/>
        <v>23</v>
      </c>
      <c r="E13">
        <f t="shared" si="1"/>
        <v>2</v>
      </c>
    </row>
    <row r="14" spans="2:5" x14ac:dyDescent="0.55000000000000004">
      <c r="B14">
        <v>13</v>
      </c>
      <c r="C14">
        <f t="shared" si="0"/>
        <v>169</v>
      </c>
      <c r="D14">
        <f t="shared" si="1"/>
        <v>25</v>
      </c>
      <c r="E14">
        <f t="shared" si="1"/>
        <v>2</v>
      </c>
    </row>
    <row r="15" spans="2:5" x14ac:dyDescent="0.55000000000000004">
      <c r="B15">
        <v>14</v>
      </c>
      <c r="C15">
        <f t="shared" si="0"/>
        <v>196</v>
      </c>
      <c r="D15">
        <f t="shared" si="1"/>
        <v>27</v>
      </c>
      <c r="E15">
        <f t="shared" si="1"/>
        <v>2</v>
      </c>
    </row>
    <row r="16" spans="2:5" x14ac:dyDescent="0.55000000000000004">
      <c r="B16">
        <v>15</v>
      </c>
      <c r="C16">
        <f t="shared" si="0"/>
        <v>225</v>
      </c>
      <c r="D16">
        <f t="shared" si="1"/>
        <v>29</v>
      </c>
      <c r="E16">
        <f t="shared" si="1"/>
        <v>2</v>
      </c>
    </row>
    <row r="17" spans="2:5" x14ac:dyDescent="0.55000000000000004">
      <c r="B17">
        <v>16</v>
      </c>
      <c r="C17">
        <f t="shared" si="0"/>
        <v>256</v>
      </c>
      <c r="D17">
        <f t="shared" si="1"/>
        <v>31</v>
      </c>
      <c r="E17">
        <f t="shared" si="1"/>
        <v>2</v>
      </c>
    </row>
    <row r="18" spans="2:5" x14ac:dyDescent="0.55000000000000004">
      <c r="B18">
        <v>17</v>
      </c>
      <c r="C18">
        <f t="shared" si="0"/>
        <v>289</v>
      </c>
      <c r="D18">
        <f t="shared" si="1"/>
        <v>33</v>
      </c>
      <c r="E18">
        <f t="shared" si="1"/>
        <v>2</v>
      </c>
    </row>
    <row r="19" spans="2:5" x14ac:dyDescent="0.55000000000000004">
      <c r="B19">
        <v>18</v>
      </c>
      <c r="C19">
        <f t="shared" si="0"/>
        <v>324</v>
      </c>
      <c r="D19">
        <f t="shared" si="1"/>
        <v>35</v>
      </c>
      <c r="E19">
        <f t="shared" si="1"/>
        <v>2</v>
      </c>
    </row>
    <row r="20" spans="2:5" x14ac:dyDescent="0.55000000000000004">
      <c r="B20">
        <v>19</v>
      </c>
      <c r="C20">
        <f t="shared" si="0"/>
        <v>361</v>
      </c>
      <c r="D20">
        <f t="shared" si="1"/>
        <v>37</v>
      </c>
      <c r="E20">
        <f t="shared" si="1"/>
        <v>2</v>
      </c>
    </row>
    <row r="21" spans="2:5" x14ac:dyDescent="0.55000000000000004">
      <c r="B21">
        <v>20</v>
      </c>
      <c r="C21">
        <f t="shared" si="0"/>
        <v>400</v>
      </c>
      <c r="D21">
        <f t="shared" si="1"/>
        <v>39</v>
      </c>
      <c r="E21">
        <f t="shared" si="1"/>
        <v>2</v>
      </c>
    </row>
    <row r="22" spans="2:5" x14ac:dyDescent="0.55000000000000004">
      <c r="B22">
        <v>21</v>
      </c>
      <c r="C22">
        <f t="shared" si="0"/>
        <v>441</v>
      </c>
      <c r="D22">
        <f t="shared" si="1"/>
        <v>41</v>
      </c>
      <c r="E22">
        <f t="shared" si="1"/>
        <v>2</v>
      </c>
    </row>
    <row r="23" spans="2:5" x14ac:dyDescent="0.55000000000000004">
      <c r="B23">
        <v>22</v>
      </c>
      <c r="C23">
        <f t="shared" si="0"/>
        <v>484</v>
      </c>
      <c r="D23">
        <f t="shared" si="1"/>
        <v>43</v>
      </c>
      <c r="E23">
        <f t="shared" si="1"/>
        <v>2</v>
      </c>
    </row>
    <row r="24" spans="2:5" x14ac:dyDescent="0.55000000000000004">
      <c r="B24">
        <v>23</v>
      </c>
      <c r="C24">
        <f t="shared" si="0"/>
        <v>529</v>
      </c>
      <c r="D24">
        <f t="shared" si="1"/>
        <v>45</v>
      </c>
    </row>
    <row r="25" spans="2:5" x14ac:dyDescent="0.55000000000000004">
      <c r="B25">
        <v>24</v>
      </c>
      <c r="C25">
        <f t="shared" si="0"/>
        <v>576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7383-7CC2-4373-AB92-FBC8D67C6029}">
  <dimension ref="A1:I171"/>
  <sheetViews>
    <sheetView topLeftCell="A139" workbookViewId="0">
      <selection activeCell="H1" sqref="H1:I171"/>
    </sheetView>
  </sheetViews>
  <sheetFormatPr defaultRowHeight="15.7" x14ac:dyDescent="0.55000000000000004"/>
  <cols>
    <col min="1" max="1" width="24.1015625" bestFit="1" customWidth="1"/>
    <col min="7" max="7" width="18.20703125" bestFit="1" customWidth="1"/>
    <col min="10" max="10" width="12" bestFit="1" customWidth="1"/>
  </cols>
  <sheetData>
    <row r="1" spans="1:9" x14ac:dyDescent="0.55000000000000004">
      <c r="D1" t="s">
        <v>1</v>
      </c>
      <c r="E1" t="s">
        <v>185</v>
      </c>
      <c r="F1" t="s">
        <v>1</v>
      </c>
      <c r="G1" t="s">
        <v>185</v>
      </c>
      <c r="H1" t="s">
        <v>1</v>
      </c>
      <c r="I1" t="s">
        <v>185</v>
      </c>
    </row>
    <row r="2" spans="1:9" x14ac:dyDescent="0.55000000000000004">
      <c r="A2" t="s">
        <v>17</v>
      </c>
      <c r="B2">
        <f>FIND(":",A2)</f>
        <v>2</v>
      </c>
      <c r="C2">
        <f>FIND("=",A2)</f>
        <v>5</v>
      </c>
      <c r="D2" t="str">
        <f>LEFT(A2,B2-1)</f>
        <v>2</v>
      </c>
      <c r="E2" t="str">
        <f>RIGHT(A2,LEN(A2)-C2)</f>
        <v>1</v>
      </c>
      <c r="F2" t="s">
        <v>187</v>
      </c>
      <c r="G2" t="s">
        <v>188</v>
      </c>
      <c r="H2">
        <v>2</v>
      </c>
      <c r="I2">
        <v>1</v>
      </c>
    </row>
    <row r="3" spans="1:9" x14ac:dyDescent="0.55000000000000004">
      <c r="A3" t="s">
        <v>18</v>
      </c>
      <c r="B3">
        <f t="shared" ref="B3:B66" si="0">FIND(":",A3)</f>
        <v>2</v>
      </c>
      <c r="C3">
        <f t="shared" ref="C3:C66" si="1">FIND("=",A3)</f>
        <v>5</v>
      </c>
      <c r="D3" t="str">
        <f t="shared" ref="D3:D66" si="2">LEFT(A3,B3-1)</f>
        <v>3</v>
      </c>
      <c r="E3" t="str">
        <f t="shared" ref="E3:E66" si="3">RIGHT(A3,LEN(A3)-C3)</f>
        <v>1</v>
      </c>
      <c r="F3" t="s">
        <v>189</v>
      </c>
      <c r="G3" t="s">
        <v>188</v>
      </c>
      <c r="H3">
        <v>3</v>
      </c>
      <c r="I3">
        <v>1</v>
      </c>
    </row>
    <row r="4" spans="1:9" x14ac:dyDescent="0.55000000000000004">
      <c r="A4" t="s">
        <v>19</v>
      </c>
      <c r="B4">
        <f t="shared" si="0"/>
        <v>2</v>
      </c>
      <c r="C4">
        <f t="shared" si="1"/>
        <v>5</v>
      </c>
      <c r="D4" t="str">
        <f t="shared" si="2"/>
        <v>5</v>
      </c>
      <c r="E4" t="str">
        <f t="shared" si="3"/>
        <v>2</v>
      </c>
      <c r="F4" t="s">
        <v>190</v>
      </c>
      <c r="G4" t="s">
        <v>187</v>
      </c>
      <c r="H4">
        <v>5</v>
      </c>
      <c r="I4">
        <v>2</v>
      </c>
    </row>
    <row r="5" spans="1:9" x14ac:dyDescent="0.55000000000000004">
      <c r="A5" t="s">
        <v>20</v>
      </c>
      <c r="B5">
        <f t="shared" si="0"/>
        <v>2</v>
      </c>
      <c r="C5">
        <f t="shared" si="1"/>
        <v>5</v>
      </c>
      <c r="D5" t="str">
        <f t="shared" si="2"/>
        <v>7</v>
      </c>
      <c r="E5" t="str">
        <f t="shared" si="3"/>
        <v>1</v>
      </c>
      <c r="F5" t="s">
        <v>191</v>
      </c>
      <c r="G5" t="s">
        <v>188</v>
      </c>
      <c r="H5">
        <v>7</v>
      </c>
      <c r="I5">
        <v>1</v>
      </c>
    </row>
    <row r="6" spans="1:9" x14ac:dyDescent="0.55000000000000004">
      <c r="A6" t="s">
        <v>21</v>
      </c>
      <c r="B6">
        <f t="shared" si="0"/>
        <v>3</v>
      </c>
      <c r="C6">
        <f t="shared" si="1"/>
        <v>6</v>
      </c>
      <c r="D6" t="str">
        <f t="shared" si="2"/>
        <v>11</v>
      </c>
      <c r="E6" t="str">
        <f t="shared" si="3"/>
        <v>1</v>
      </c>
      <c r="F6" t="s">
        <v>192</v>
      </c>
      <c r="G6" t="s">
        <v>188</v>
      </c>
      <c r="H6">
        <v>11</v>
      </c>
      <c r="I6">
        <v>1</v>
      </c>
    </row>
    <row r="7" spans="1:9" x14ac:dyDescent="0.55000000000000004">
      <c r="A7" t="s">
        <v>22</v>
      </c>
      <c r="B7">
        <f t="shared" si="0"/>
        <v>3</v>
      </c>
      <c r="C7">
        <f t="shared" si="1"/>
        <v>6</v>
      </c>
      <c r="D7" t="str">
        <f t="shared" si="2"/>
        <v>13</v>
      </c>
      <c r="E7" t="str">
        <f t="shared" si="3"/>
        <v>50</v>
      </c>
      <c r="F7" t="s">
        <v>193</v>
      </c>
      <c r="G7" t="s">
        <v>194</v>
      </c>
      <c r="H7">
        <v>13</v>
      </c>
      <c r="I7">
        <v>50</v>
      </c>
    </row>
    <row r="8" spans="1:9" x14ac:dyDescent="0.55000000000000004">
      <c r="A8" t="s">
        <v>23</v>
      </c>
      <c r="B8">
        <f t="shared" si="0"/>
        <v>3</v>
      </c>
      <c r="C8">
        <f t="shared" si="1"/>
        <v>6</v>
      </c>
      <c r="D8" t="str">
        <f t="shared" si="2"/>
        <v>17</v>
      </c>
      <c r="E8" t="str">
        <f t="shared" si="3"/>
        <v>2</v>
      </c>
      <c r="F8" t="s">
        <v>195</v>
      </c>
      <c r="G8" t="s">
        <v>187</v>
      </c>
      <c r="H8">
        <v>17</v>
      </c>
      <c r="I8">
        <v>2</v>
      </c>
    </row>
    <row r="9" spans="1:9" x14ac:dyDescent="0.55000000000000004">
      <c r="A9" t="s">
        <v>23</v>
      </c>
      <c r="B9">
        <f t="shared" si="0"/>
        <v>3</v>
      </c>
      <c r="C9">
        <f t="shared" si="1"/>
        <v>6</v>
      </c>
      <c r="D9" t="str">
        <f t="shared" si="2"/>
        <v>17</v>
      </c>
      <c r="E9" t="str">
        <f t="shared" si="3"/>
        <v>2</v>
      </c>
      <c r="F9" t="s">
        <v>195</v>
      </c>
      <c r="G9" t="s">
        <v>187</v>
      </c>
      <c r="H9">
        <v>17</v>
      </c>
      <c r="I9">
        <v>2</v>
      </c>
    </row>
    <row r="10" spans="1:9" x14ac:dyDescent="0.55000000000000004">
      <c r="A10" t="s">
        <v>24</v>
      </c>
      <c r="B10">
        <f t="shared" si="0"/>
        <v>3</v>
      </c>
      <c r="C10">
        <f t="shared" si="1"/>
        <v>6</v>
      </c>
      <c r="D10" t="str">
        <f t="shared" si="2"/>
        <v>19</v>
      </c>
      <c r="E10" t="str">
        <f t="shared" si="3"/>
        <v>9</v>
      </c>
      <c r="F10" t="s">
        <v>196</v>
      </c>
      <c r="G10" t="s">
        <v>197</v>
      </c>
      <c r="H10">
        <v>19</v>
      </c>
      <c r="I10">
        <v>9</v>
      </c>
    </row>
    <row r="11" spans="1:9" x14ac:dyDescent="0.55000000000000004">
      <c r="A11" t="s">
        <v>25</v>
      </c>
      <c r="B11">
        <f t="shared" si="0"/>
        <v>3</v>
      </c>
      <c r="C11">
        <f t="shared" si="1"/>
        <v>6</v>
      </c>
      <c r="D11" t="str">
        <f t="shared" si="2"/>
        <v>23</v>
      </c>
      <c r="E11" t="str">
        <f t="shared" si="3"/>
        <v>1</v>
      </c>
      <c r="F11" t="s">
        <v>198</v>
      </c>
      <c r="G11" t="s">
        <v>188</v>
      </c>
      <c r="H11">
        <v>23</v>
      </c>
      <c r="I11">
        <v>1</v>
      </c>
    </row>
    <row r="12" spans="1:9" x14ac:dyDescent="0.55000000000000004">
      <c r="A12" t="s">
        <v>26</v>
      </c>
      <c r="B12">
        <f t="shared" si="0"/>
        <v>3</v>
      </c>
      <c r="C12">
        <f t="shared" si="1"/>
        <v>6</v>
      </c>
      <c r="D12" t="str">
        <f t="shared" si="2"/>
        <v>29</v>
      </c>
      <c r="E12" t="str">
        <f t="shared" si="3"/>
        <v>338</v>
      </c>
      <c r="F12" t="s">
        <v>199</v>
      </c>
      <c r="G12" t="s">
        <v>200</v>
      </c>
      <c r="H12">
        <v>29</v>
      </c>
      <c r="I12">
        <v>338</v>
      </c>
    </row>
    <row r="13" spans="1:9" x14ac:dyDescent="0.55000000000000004">
      <c r="A13" t="s">
        <v>27</v>
      </c>
      <c r="B13">
        <f t="shared" si="0"/>
        <v>3</v>
      </c>
      <c r="C13">
        <f t="shared" si="1"/>
        <v>6</v>
      </c>
      <c r="D13" t="str">
        <f t="shared" si="2"/>
        <v>31</v>
      </c>
      <c r="E13" t="str">
        <f t="shared" si="3"/>
        <v>49</v>
      </c>
      <c r="F13" t="s">
        <v>201</v>
      </c>
      <c r="G13" t="s">
        <v>202</v>
      </c>
      <c r="H13">
        <v>31</v>
      </c>
      <c r="I13">
        <v>49</v>
      </c>
    </row>
    <row r="14" spans="1:9" x14ac:dyDescent="0.55000000000000004">
      <c r="A14" t="s">
        <v>28</v>
      </c>
      <c r="B14">
        <f t="shared" si="0"/>
        <v>3</v>
      </c>
      <c r="C14">
        <f t="shared" si="1"/>
        <v>6</v>
      </c>
      <c r="D14" t="str">
        <f t="shared" si="2"/>
        <v>37</v>
      </c>
      <c r="E14" t="str">
        <f t="shared" si="3"/>
        <v>2</v>
      </c>
      <c r="F14" t="s">
        <v>203</v>
      </c>
      <c r="G14" t="s">
        <v>187</v>
      </c>
      <c r="H14">
        <v>37</v>
      </c>
      <c r="I14">
        <v>2</v>
      </c>
    </row>
    <row r="15" spans="1:9" x14ac:dyDescent="0.55000000000000004">
      <c r="A15" t="s">
        <v>29</v>
      </c>
      <c r="B15">
        <f t="shared" si="0"/>
        <v>3</v>
      </c>
      <c r="C15">
        <f t="shared" si="1"/>
        <v>6</v>
      </c>
      <c r="D15" t="str">
        <f t="shared" si="2"/>
        <v>41</v>
      </c>
      <c r="E15" t="str">
        <f t="shared" si="3"/>
        <v>1296</v>
      </c>
      <c r="F15" t="s">
        <v>204</v>
      </c>
      <c r="G15" t="s">
        <v>205</v>
      </c>
      <c r="H15">
        <v>41</v>
      </c>
      <c r="I15">
        <v>1296</v>
      </c>
    </row>
    <row r="16" spans="1:9" x14ac:dyDescent="0.55000000000000004">
      <c r="A16" t="s">
        <v>30</v>
      </c>
      <c r="B16">
        <f t="shared" si="0"/>
        <v>3</v>
      </c>
      <c r="C16">
        <f t="shared" si="1"/>
        <v>6</v>
      </c>
      <c r="D16" t="str">
        <f t="shared" si="2"/>
        <v>43</v>
      </c>
      <c r="E16" t="str">
        <f t="shared" si="3"/>
        <v>81</v>
      </c>
      <c r="F16" t="s">
        <v>206</v>
      </c>
      <c r="G16" t="s">
        <v>207</v>
      </c>
      <c r="H16">
        <v>43</v>
      </c>
      <c r="I16">
        <v>81</v>
      </c>
    </row>
    <row r="17" spans="1:9" x14ac:dyDescent="0.55000000000000004">
      <c r="A17" t="s">
        <v>31</v>
      </c>
      <c r="B17">
        <f t="shared" si="0"/>
        <v>3</v>
      </c>
      <c r="C17">
        <f t="shared" si="1"/>
        <v>6</v>
      </c>
      <c r="D17" t="str">
        <f t="shared" si="2"/>
        <v>47</v>
      </c>
      <c r="E17" t="str">
        <f t="shared" si="3"/>
        <v>1</v>
      </c>
      <c r="F17" t="s">
        <v>208</v>
      </c>
      <c r="G17" t="s">
        <v>188</v>
      </c>
      <c r="H17">
        <v>47</v>
      </c>
      <c r="I17">
        <v>1</v>
      </c>
    </row>
    <row r="18" spans="1:9" x14ac:dyDescent="0.55000000000000004">
      <c r="A18" t="s">
        <v>32</v>
      </c>
      <c r="B18">
        <f t="shared" si="0"/>
        <v>3</v>
      </c>
      <c r="C18">
        <f t="shared" si="1"/>
        <v>6</v>
      </c>
      <c r="D18" t="str">
        <f t="shared" si="2"/>
        <v>53</v>
      </c>
      <c r="E18" t="str">
        <f t="shared" si="3"/>
        <v>1250</v>
      </c>
      <c r="F18" t="s">
        <v>209</v>
      </c>
      <c r="G18" t="s">
        <v>210</v>
      </c>
      <c r="H18">
        <v>53</v>
      </c>
      <c r="I18">
        <v>1250</v>
      </c>
    </row>
    <row r="19" spans="1:9" x14ac:dyDescent="0.55000000000000004">
      <c r="A19" t="s">
        <v>33</v>
      </c>
      <c r="B19">
        <f t="shared" si="0"/>
        <v>3</v>
      </c>
      <c r="C19">
        <f t="shared" si="1"/>
        <v>6</v>
      </c>
      <c r="D19" t="str">
        <f t="shared" si="2"/>
        <v>59</v>
      </c>
      <c r="E19" t="str">
        <f t="shared" si="3"/>
        <v>9</v>
      </c>
      <c r="F19" t="s">
        <v>211</v>
      </c>
      <c r="G19" t="s">
        <v>197</v>
      </c>
      <c r="H19">
        <v>59</v>
      </c>
      <c r="I19">
        <v>9</v>
      </c>
    </row>
    <row r="20" spans="1:9" x14ac:dyDescent="0.55000000000000004">
      <c r="A20" t="s">
        <v>34</v>
      </c>
      <c r="B20">
        <f t="shared" si="0"/>
        <v>3</v>
      </c>
      <c r="C20">
        <f t="shared" si="1"/>
        <v>6</v>
      </c>
      <c r="D20" t="str">
        <f t="shared" si="2"/>
        <v>61</v>
      </c>
      <c r="E20" t="str">
        <f t="shared" si="3"/>
        <v>1936</v>
      </c>
      <c r="F20" t="s">
        <v>212</v>
      </c>
      <c r="G20" t="s">
        <v>213</v>
      </c>
      <c r="H20">
        <v>61</v>
      </c>
      <c r="I20">
        <v>1936</v>
      </c>
    </row>
    <row r="21" spans="1:9" x14ac:dyDescent="0.55000000000000004">
      <c r="A21" t="s">
        <v>35</v>
      </c>
      <c r="B21">
        <f t="shared" si="0"/>
        <v>3</v>
      </c>
      <c r="C21">
        <f t="shared" si="1"/>
        <v>6</v>
      </c>
      <c r="D21" t="str">
        <f t="shared" si="2"/>
        <v>67</v>
      </c>
      <c r="E21" t="str">
        <f t="shared" si="3"/>
        <v>729</v>
      </c>
      <c r="F21" t="s">
        <v>214</v>
      </c>
      <c r="G21" t="s">
        <v>215</v>
      </c>
      <c r="H21">
        <v>67</v>
      </c>
      <c r="I21">
        <v>729</v>
      </c>
    </row>
    <row r="22" spans="1:9" x14ac:dyDescent="0.55000000000000004">
      <c r="A22" t="s">
        <v>36</v>
      </c>
      <c r="B22">
        <f t="shared" si="0"/>
        <v>3</v>
      </c>
      <c r="C22">
        <f t="shared" si="1"/>
        <v>6</v>
      </c>
      <c r="D22" t="str">
        <f t="shared" si="2"/>
        <v>71</v>
      </c>
      <c r="E22" t="str">
        <f t="shared" si="3"/>
        <v>49</v>
      </c>
      <c r="F22" t="s">
        <v>216</v>
      </c>
      <c r="G22" t="s">
        <v>202</v>
      </c>
      <c r="H22">
        <v>71</v>
      </c>
      <c r="I22">
        <v>49</v>
      </c>
    </row>
    <row r="23" spans="1:9" x14ac:dyDescent="0.55000000000000004">
      <c r="A23" t="s">
        <v>37</v>
      </c>
      <c r="B23">
        <f t="shared" si="0"/>
        <v>3</v>
      </c>
      <c r="C23">
        <f t="shared" si="1"/>
        <v>6</v>
      </c>
      <c r="D23" t="str">
        <f t="shared" si="2"/>
        <v>73</v>
      </c>
      <c r="E23" t="str">
        <f t="shared" si="3"/>
        <v>576</v>
      </c>
      <c r="F23" t="s">
        <v>217</v>
      </c>
      <c r="G23" t="s">
        <v>218</v>
      </c>
      <c r="H23">
        <v>73</v>
      </c>
      <c r="I23">
        <v>576</v>
      </c>
    </row>
    <row r="24" spans="1:9" x14ac:dyDescent="0.55000000000000004">
      <c r="A24" t="s">
        <v>38</v>
      </c>
      <c r="B24">
        <f t="shared" si="0"/>
        <v>3</v>
      </c>
      <c r="C24">
        <f t="shared" si="1"/>
        <v>6</v>
      </c>
      <c r="D24" t="str">
        <f t="shared" si="2"/>
        <v>79</v>
      </c>
      <c r="E24" t="str">
        <f t="shared" si="3"/>
        <v>1</v>
      </c>
      <c r="F24" t="s">
        <v>219</v>
      </c>
      <c r="G24" t="s">
        <v>188</v>
      </c>
      <c r="H24">
        <v>79</v>
      </c>
      <c r="I24">
        <v>1</v>
      </c>
    </row>
    <row r="25" spans="1:9" x14ac:dyDescent="0.55000000000000004">
      <c r="A25" t="s">
        <v>39</v>
      </c>
      <c r="B25">
        <f t="shared" si="0"/>
        <v>3</v>
      </c>
      <c r="C25">
        <f t="shared" si="1"/>
        <v>6</v>
      </c>
      <c r="D25" t="str">
        <f t="shared" si="2"/>
        <v>83</v>
      </c>
      <c r="E25" t="str">
        <f t="shared" si="3"/>
        <v>1</v>
      </c>
      <c r="F25" t="s">
        <v>220</v>
      </c>
      <c r="G25" t="s">
        <v>188</v>
      </c>
      <c r="H25">
        <v>83</v>
      </c>
      <c r="I25">
        <v>1</v>
      </c>
    </row>
    <row r="26" spans="1:9" x14ac:dyDescent="0.55000000000000004">
      <c r="A26" t="s">
        <v>40</v>
      </c>
      <c r="B26">
        <f t="shared" si="0"/>
        <v>3</v>
      </c>
      <c r="C26">
        <f t="shared" si="1"/>
        <v>6</v>
      </c>
      <c r="D26" t="str">
        <f t="shared" si="2"/>
        <v>89</v>
      </c>
      <c r="E26" t="str">
        <f t="shared" si="3"/>
        <v>5618</v>
      </c>
      <c r="F26" t="s">
        <v>221</v>
      </c>
      <c r="G26" t="s">
        <v>222</v>
      </c>
      <c r="H26">
        <v>89</v>
      </c>
      <c r="I26">
        <v>5618</v>
      </c>
    </row>
    <row r="27" spans="1:9" x14ac:dyDescent="0.55000000000000004">
      <c r="A27" t="s">
        <v>41</v>
      </c>
      <c r="B27">
        <f t="shared" si="0"/>
        <v>3</v>
      </c>
      <c r="C27">
        <f t="shared" si="1"/>
        <v>6</v>
      </c>
      <c r="D27" t="str">
        <f t="shared" si="2"/>
        <v>97</v>
      </c>
      <c r="E27" t="str">
        <f t="shared" si="3"/>
        <v>784</v>
      </c>
      <c r="F27" t="s">
        <v>223</v>
      </c>
      <c r="G27" t="s">
        <v>224</v>
      </c>
      <c r="H27">
        <v>97</v>
      </c>
      <c r="I27">
        <v>784</v>
      </c>
    </row>
    <row r="28" spans="1:9" x14ac:dyDescent="0.55000000000000004">
      <c r="A28" t="s">
        <v>42</v>
      </c>
      <c r="B28">
        <f t="shared" si="0"/>
        <v>4</v>
      </c>
      <c r="C28">
        <f t="shared" si="1"/>
        <v>7</v>
      </c>
      <c r="D28" t="str">
        <f t="shared" si="2"/>
        <v>101</v>
      </c>
      <c r="E28" t="str">
        <f t="shared" si="3"/>
        <v>2</v>
      </c>
      <c r="F28" t="s">
        <v>225</v>
      </c>
      <c r="G28" t="s">
        <v>187</v>
      </c>
      <c r="H28">
        <v>101</v>
      </c>
      <c r="I28">
        <v>2</v>
      </c>
    </row>
    <row r="29" spans="1:9" x14ac:dyDescent="0.55000000000000004">
      <c r="A29" t="s">
        <v>43</v>
      </c>
      <c r="B29">
        <f t="shared" si="0"/>
        <v>4</v>
      </c>
      <c r="C29">
        <f t="shared" si="1"/>
        <v>7</v>
      </c>
      <c r="D29" t="str">
        <f t="shared" si="2"/>
        <v>103</v>
      </c>
      <c r="E29" t="str">
        <f t="shared" si="3"/>
        <v>2209</v>
      </c>
      <c r="F29" t="s">
        <v>226</v>
      </c>
      <c r="G29" t="s">
        <v>227</v>
      </c>
      <c r="H29">
        <v>103</v>
      </c>
      <c r="I29">
        <v>2209</v>
      </c>
    </row>
    <row r="30" spans="1:9" x14ac:dyDescent="0.55000000000000004">
      <c r="A30" t="s">
        <v>44</v>
      </c>
      <c r="B30">
        <f t="shared" si="0"/>
        <v>4</v>
      </c>
      <c r="C30">
        <f t="shared" si="1"/>
        <v>7</v>
      </c>
      <c r="D30" t="str">
        <f t="shared" si="2"/>
        <v>107</v>
      </c>
      <c r="E30" t="str">
        <f t="shared" si="3"/>
        <v>9</v>
      </c>
      <c r="F30" t="s">
        <v>228</v>
      </c>
      <c r="G30" t="s">
        <v>197</v>
      </c>
      <c r="H30">
        <v>107</v>
      </c>
      <c r="I30">
        <v>9</v>
      </c>
    </row>
    <row r="31" spans="1:9" x14ac:dyDescent="0.55000000000000004">
      <c r="A31" t="s">
        <v>45</v>
      </c>
      <c r="B31">
        <f t="shared" si="0"/>
        <v>4</v>
      </c>
      <c r="C31">
        <f t="shared" si="1"/>
        <v>7</v>
      </c>
      <c r="D31" t="str">
        <f t="shared" si="2"/>
        <v>109</v>
      </c>
      <c r="E31" t="str">
        <f t="shared" si="3"/>
        <v>291316624</v>
      </c>
      <c r="F31" t="s">
        <v>229</v>
      </c>
      <c r="G31" t="s">
        <v>230</v>
      </c>
      <c r="H31">
        <v>109</v>
      </c>
      <c r="I31">
        <v>291316624</v>
      </c>
    </row>
    <row r="32" spans="1:9" x14ac:dyDescent="0.55000000000000004">
      <c r="A32" t="s">
        <v>46</v>
      </c>
      <c r="B32">
        <f t="shared" si="0"/>
        <v>4</v>
      </c>
      <c r="C32">
        <f t="shared" si="1"/>
        <v>7</v>
      </c>
      <c r="D32" t="str">
        <f t="shared" si="2"/>
        <v>113</v>
      </c>
      <c r="E32" t="str">
        <f t="shared" si="3"/>
        <v>3600</v>
      </c>
      <c r="F32" t="s">
        <v>231</v>
      </c>
      <c r="G32" t="s">
        <v>232</v>
      </c>
      <c r="H32">
        <v>113</v>
      </c>
      <c r="I32">
        <v>3600</v>
      </c>
    </row>
    <row r="33" spans="1:9" x14ac:dyDescent="0.55000000000000004">
      <c r="A33" t="s">
        <v>47</v>
      </c>
      <c r="B33">
        <f t="shared" si="0"/>
        <v>4</v>
      </c>
      <c r="C33">
        <f t="shared" si="1"/>
        <v>7</v>
      </c>
      <c r="D33" t="str">
        <f t="shared" si="2"/>
        <v>127</v>
      </c>
      <c r="E33" t="str">
        <f t="shared" si="3"/>
        <v>1024</v>
      </c>
      <c r="F33" t="s">
        <v>233</v>
      </c>
      <c r="G33" t="s">
        <v>234</v>
      </c>
      <c r="H33">
        <v>127</v>
      </c>
      <c r="I33">
        <v>1024</v>
      </c>
    </row>
    <row r="34" spans="1:9" x14ac:dyDescent="0.55000000000000004">
      <c r="A34" t="s">
        <v>48</v>
      </c>
      <c r="B34">
        <f t="shared" si="0"/>
        <v>4</v>
      </c>
      <c r="C34">
        <f t="shared" si="1"/>
        <v>7</v>
      </c>
      <c r="D34" t="str">
        <f t="shared" si="2"/>
        <v>131</v>
      </c>
      <c r="E34" t="str">
        <f t="shared" si="3"/>
        <v>81</v>
      </c>
      <c r="F34" t="s">
        <v>235</v>
      </c>
      <c r="G34" t="s">
        <v>207</v>
      </c>
      <c r="H34">
        <v>131</v>
      </c>
      <c r="I34">
        <v>81</v>
      </c>
    </row>
    <row r="35" spans="1:9" x14ac:dyDescent="0.55000000000000004">
      <c r="A35" t="s">
        <v>49</v>
      </c>
      <c r="B35">
        <f t="shared" si="0"/>
        <v>4</v>
      </c>
      <c r="C35">
        <f t="shared" si="1"/>
        <v>7</v>
      </c>
      <c r="D35" t="str">
        <f t="shared" si="2"/>
        <v>137</v>
      </c>
      <c r="E35" t="str">
        <f t="shared" si="3"/>
        <v>228847424400</v>
      </c>
      <c r="F35" t="s">
        <v>236</v>
      </c>
      <c r="G35" t="s">
        <v>237</v>
      </c>
      <c r="H35">
        <v>137</v>
      </c>
      <c r="I35">
        <v>228847424400</v>
      </c>
    </row>
    <row r="36" spans="1:9" x14ac:dyDescent="0.55000000000000004">
      <c r="A36" t="s">
        <v>50</v>
      </c>
      <c r="B36">
        <f t="shared" si="0"/>
        <v>4</v>
      </c>
      <c r="C36">
        <f t="shared" si="1"/>
        <v>7</v>
      </c>
      <c r="D36" t="str">
        <f t="shared" si="2"/>
        <v>139</v>
      </c>
      <c r="E36" t="str">
        <f t="shared" si="3"/>
        <v>90000</v>
      </c>
      <c r="F36" t="s">
        <v>238</v>
      </c>
      <c r="G36" t="s">
        <v>239</v>
      </c>
      <c r="H36">
        <v>139</v>
      </c>
      <c r="I36">
        <v>90000</v>
      </c>
    </row>
    <row r="37" spans="1:9" x14ac:dyDescent="0.55000000000000004">
      <c r="A37" t="s">
        <v>51</v>
      </c>
      <c r="B37">
        <f t="shared" si="0"/>
        <v>4</v>
      </c>
      <c r="C37">
        <f t="shared" si="1"/>
        <v>7</v>
      </c>
      <c r="D37" t="str">
        <f t="shared" si="2"/>
        <v>149</v>
      </c>
      <c r="E37" t="str">
        <f t="shared" si="3"/>
        <v>173166050</v>
      </c>
      <c r="F37" t="s">
        <v>240</v>
      </c>
      <c r="G37" t="s">
        <v>241</v>
      </c>
      <c r="H37">
        <v>149</v>
      </c>
      <c r="I37">
        <v>173166050</v>
      </c>
    </row>
    <row r="38" spans="1:9" x14ac:dyDescent="0.55000000000000004">
      <c r="A38" t="s">
        <v>52</v>
      </c>
      <c r="B38">
        <f t="shared" si="0"/>
        <v>4</v>
      </c>
      <c r="C38">
        <f t="shared" si="1"/>
        <v>7</v>
      </c>
      <c r="D38" t="str">
        <f t="shared" si="2"/>
        <v>151</v>
      </c>
      <c r="E38" t="str">
        <f t="shared" si="3"/>
        <v>11444689</v>
      </c>
      <c r="F38" t="s">
        <v>242</v>
      </c>
      <c r="G38" t="s">
        <v>243</v>
      </c>
      <c r="H38">
        <v>151</v>
      </c>
      <c r="I38">
        <v>11444689</v>
      </c>
    </row>
    <row r="39" spans="1:9" x14ac:dyDescent="0.55000000000000004">
      <c r="A39" t="s">
        <v>53</v>
      </c>
      <c r="B39">
        <f t="shared" si="0"/>
        <v>4</v>
      </c>
      <c r="C39">
        <f t="shared" si="1"/>
        <v>7</v>
      </c>
      <c r="D39" t="str">
        <f t="shared" si="2"/>
        <v>157</v>
      </c>
      <c r="E39" t="str">
        <f t="shared" si="3"/>
        <v>1962490000</v>
      </c>
      <c r="F39" t="s">
        <v>244</v>
      </c>
      <c r="G39" t="s">
        <v>245</v>
      </c>
      <c r="H39">
        <v>157</v>
      </c>
      <c r="I39">
        <v>1962490000</v>
      </c>
    </row>
    <row r="40" spans="1:9" x14ac:dyDescent="0.55000000000000004">
      <c r="A40" t="s">
        <v>54</v>
      </c>
      <c r="B40">
        <f t="shared" si="0"/>
        <v>4</v>
      </c>
      <c r="C40">
        <f t="shared" si="1"/>
        <v>7</v>
      </c>
      <c r="D40" t="str">
        <f t="shared" si="2"/>
        <v>163</v>
      </c>
      <c r="E40" t="str">
        <f t="shared" si="3"/>
        <v>1296</v>
      </c>
      <c r="F40" t="s">
        <v>246</v>
      </c>
      <c r="G40" t="s">
        <v>205</v>
      </c>
      <c r="H40">
        <v>163</v>
      </c>
      <c r="I40">
        <v>1296</v>
      </c>
    </row>
    <row r="41" spans="1:9" x14ac:dyDescent="0.55000000000000004">
      <c r="A41" t="s">
        <v>55</v>
      </c>
      <c r="B41">
        <f t="shared" si="0"/>
        <v>4</v>
      </c>
      <c r="C41">
        <f t="shared" si="1"/>
        <v>7</v>
      </c>
      <c r="D41" t="str">
        <f t="shared" si="2"/>
        <v>167</v>
      </c>
      <c r="E41" t="str">
        <f t="shared" si="3"/>
        <v>1</v>
      </c>
      <c r="F41" t="s">
        <v>247</v>
      </c>
      <c r="G41" t="s">
        <v>188</v>
      </c>
      <c r="H41">
        <v>167</v>
      </c>
      <c r="I41">
        <v>1</v>
      </c>
    </row>
    <row r="42" spans="1:9" x14ac:dyDescent="0.55000000000000004">
      <c r="A42" t="s">
        <v>56</v>
      </c>
      <c r="B42">
        <f t="shared" si="0"/>
        <v>4</v>
      </c>
      <c r="C42">
        <f t="shared" si="1"/>
        <v>7</v>
      </c>
      <c r="D42" t="str">
        <f t="shared" si="2"/>
        <v>173</v>
      </c>
      <c r="E42" t="str">
        <f t="shared" si="3"/>
        <v>14450</v>
      </c>
      <c r="F42" t="s">
        <v>248</v>
      </c>
      <c r="G42" t="s">
        <v>249</v>
      </c>
      <c r="H42">
        <v>173</v>
      </c>
      <c r="I42">
        <v>14450</v>
      </c>
    </row>
    <row r="43" spans="1:9" x14ac:dyDescent="0.55000000000000004">
      <c r="A43" t="s">
        <v>57</v>
      </c>
      <c r="B43">
        <f t="shared" si="0"/>
        <v>4</v>
      </c>
      <c r="C43">
        <f t="shared" si="1"/>
        <v>7</v>
      </c>
      <c r="D43" t="str">
        <f t="shared" si="2"/>
        <v>179</v>
      </c>
      <c r="E43" t="str">
        <f t="shared" si="3"/>
        <v>23409</v>
      </c>
      <c r="F43" t="s">
        <v>250</v>
      </c>
      <c r="G43" t="s">
        <v>251</v>
      </c>
      <c r="H43">
        <v>179</v>
      </c>
      <c r="I43">
        <v>23409</v>
      </c>
    </row>
    <row r="44" spans="1:9" x14ac:dyDescent="0.55000000000000004">
      <c r="A44" t="s">
        <v>58</v>
      </c>
      <c r="B44">
        <f t="shared" si="0"/>
        <v>4</v>
      </c>
      <c r="C44">
        <f t="shared" si="1"/>
        <v>7</v>
      </c>
      <c r="D44" t="str">
        <f t="shared" si="2"/>
        <v>181</v>
      </c>
      <c r="E44" t="str">
        <f t="shared" si="3"/>
        <v>5776</v>
      </c>
      <c r="F44" t="s">
        <v>252</v>
      </c>
      <c r="G44" t="s">
        <v>253</v>
      </c>
      <c r="H44">
        <v>181</v>
      </c>
      <c r="I44">
        <v>5776</v>
      </c>
    </row>
    <row r="45" spans="1:9" x14ac:dyDescent="0.55000000000000004">
      <c r="A45" t="s">
        <v>59</v>
      </c>
      <c r="B45">
        <f t="shared" si="0"/>
        <v>4</v>
      </c>
      <c r="C45">
        <f t="shared" si="1"/>
        <v>7</v>
      </c>
      <c r="D45" t="str">
        <f t="shared" si="2"/>
        <v>191</v>
      </c>
      <c r="E45" t="str">
        <f t="shared" si="3"/>
        <v>47089</v>
      </c>
      <c r="F45" t="s">
        <v>254</v>
      </c>
      <c r="G45" t="s">
        <v>255</v>
      </c>
      <c r="H45">
        <v>191</v>
      </c>
      <c r="I45">
        <v>47089</v>
      </c>
    </row>
    <row r="46" spans="1:9" x14ac:dyDescent="0.55000000000000004">
      <c r="A46" t="s">
        <v>60</v>
      </c>
      <c r="B46">
        <f t="shared" si="0"/>
        <v>4</v>
      </c>
      <c r="C46">
        <f t="shared" si="1"/>
        <v>7</v>
      </c>
      <c r="D46" t="str">
        <f t="shared" si="2"/>
        <v>193</v>
      </c>
      <c r="E46" t="str">
        <f t="shared" si="3"/>
        <v>128958736</v>
      </c>
      <c r="F46" t="s">
        <v>256</v>
      </c>
      <c r="G46" t="s">
        <v>257</v>
      </c>
      <c r="H46">
        <v>193</v>
      </c>
      <c r="I46">
        <v>128958736</v>
      </c>
    </row>
    <row r="47" spans="1:9" x14ac:dyDescent="0.55000000000000004">
      <c r="A47" t="s">
        <v>61</v>
      </c>
      <c r="B47">
        <f t="shared" si="0"/>
        <v>4</v>
      </c>
      <c r="C47">
        <f t="shared" si="1"/>
        <v>7</v>
      </c>
      <c r="D47" t="str">
        <f t="shared" si="2"/>
        <v>197</v>
      </c>
      <c r="E47" t="str">
        <f t="shared" si="3"/>
        <v>2</v>
      </c>
      <c r="F47" t="s">
        <v>258</v>
      </c>
      <c r="G47" t="s">
        <v>187</v>
      </c>
      <c r="H47">
        <v>197</v>
      </c>
      <c r="I47">
        <v>2</v>
      </c>
    </row>
    <row r="48" spans="1:9" x14ac:dyDescent="0.55000000000000004">
      <c r="A48" t="s">
        <v>62</v>
      </c>
      <c r="B48">
        <f t="shared" si="0"/>
        <v>4</v>
      </c>
      <c r="C48">
        <f t="shared" si="1"/>
        <v>7</v>
      </c>
      <c r="D48" t="str">
        <f t="shared" si="2"/>
        <v>199</v>
      </c>
      <c r="E48" t="str">
        <f t="shared" si="3"/>
        <v>1600</v>
      </c>
      <c r="F48" t="s">
        <v>259</v>
      </c>
      <c r="G48" t="s">
        <v>260</v>
      </c>
      <c r="H48">
        <v>199</v>
      </c>
      <c r="I48">
        <v>1600</v>
      </c>
    </row>
    <row r="49" spans="1:9" x14ac:dyDescent="0.55000000000000004">
      <c r="A49" t="s">
        <v>63</v>
      </c>
      <c r="B49">
        <f t="shared" si="0"/>
        <v>4</v>
      </c>
      <c r="C49">
        <f t="shared" si="1"/>
        <v>7</v>
      </c>
      <c r="D49" t="str">
        <f t="shared" si="2"/>
        <v>211</v>
      </c>
      <c r="E49" t="str">
        <f t="shared" si="3"/>
        <v>1319215041</v>
      </c>
      <c r="F49" t="s">
        <v>261</v>
      </c>
      <c r="G49" t="s">
        <v>262</v>
      </c>
      <c r="H49">
        <v>211</v>
      </c>
      <c r="I49">
        <v>1319215041</v>
      </c>
    </row>
    <row r="50" spans="1:9" x14ac:dyDescent="0.55000000000000004">
      <c r="A50" t="s">
        <v>64</v>
      </c>
      <c r="B50">
        <f t="shared" si="0"/>
        <v>4</v>
      </c>
      <c r="C50">
        <f t="shared" si="1"/>
        <v>7</v>
      </c>
      <c r="D50" t="str">
        <f t="shared" si="2"/>
        <v>223</v>
      </c>
      <c r="E50" t="str">
        <f t="shared" si="3"/>
        <v>1</v>
      </c>
      <c r="F50" t="s">
        <v>263</v>
      </c>
      <c r="G50" t="s">
        <v>188</v>
      </c>
      <c r="H50">
        <v>223</v>
      </c>
      <c r="I50">
        <v>1</v>
      </c>
    </row>
    <row r="51" spans="1:9" x14ac:dyDescent="0.55000000000000004">
      <c r="A51" t="s">
        <v>65</v>
      </c>
      <c r="B51">
        <f t="shared" si="0"/>
        <v>4</v>
      </c>
      <c r="C51">
        <f t="shared" si="1"/>
        <v>7</v>
      </c>
      <c r="D51" t="str">
        <f t="shared" si="2"/>
        <v>227</v>
      </c>
      <c r="E51" t="str">
        <f t="shared" si="3"/>
        <v>1</v>
      </c>
      <c r="F51" t="s">
        <v>264</v>
      </c>
      <c r="G51" t="s">
        <v>188</v>
      </c>
      <c r="H51">
        <v>227</v>
      </c>
      <c r="I51">
        <v>1</v>
      </c>
    </row>
    <row r="52" spans="1:9" x14ac:dyDescent="0.55000000000000004">
      <c r="A52" t="s">
        <v>66</v>
      </c>
      <c r="B52">
        <f t="shared" si="0"/>
        <v>4</v>
      </c>
      <c r="C52">
        <f t="shared" si="1"/>
        <v>7</v>
      </c>
      <c r="D52" t="str">
        <f t="shared" si="2"/>
        <v>229</v>
      </c>
      <c r="E52" t="str">
        <f t="shared" si="3"/>
        <v>25538</v>
      </c>
      <c r="F52" t="s">
        <v>265</v>
      </c>
      <c r="G52" t="s">
        <v>266</v>
      </c>
      <c r="H52">
        <v>229</v>
      </c>
      <c r="I52">
        <v>25538</v>
      </c>
    </row>
    <row r="53" spans="1:9" x14ac:dyDescent="0.55000000000000004">
      <c r="A53" t="s">
        <v>67</v>
      </c>
      <c r="B53">
        <f t="shared" si="0"/>
        <v>4</v>
      </c>
      <c r="C53">
        <f t="shared" si="1"/>
        <v>7</v>
      </c>
      <c r="D53" t="str">
        <f t="shared" si="2"/>
        <v>233</v>
      </c>
      <c r="E53" t="str">
        <f t="shared" si="3"/>
        <v>4602578</v>
      </c>
      <c r="F53" t="s">
        <v>267</v>
      </c>
      <c r="G53" t="s">
        <v>268</v>
      </c>
      <c r="H53">
        <v>233</v>
      </c>
      <c r="I53">
        <v>4602578</v>
      </c>
    </row>
    <row r="54" spans="1:9" x14ac:dyDescent="0.55000000000000004">
      <c r="A54" t="s">
        <v>68</v>
      </c>
      <c r="B54">
        <f t="shared" si="0"/>
        <v>4</v>
      </c>
      <c r="C54">
        <f t="shared" si="1"/>
        <v>7</v>
      </c>
      <c r="D54" t="str">
        <f t="shared" si="2"/>
        <v>239</v>
      </c>
      <c r="E54" t="str">
        <f t="shared" si="3"/>
        <v>25921</v>
      </c>
      <c r="F54" t="s">
        <v>269</v>
      </c>
      <c r="G54" t="s">
        <v>270</v>
      </c>
      <c r="H54">
        <v>239</v>
      </c>
      <c r="I54">
        <v>25921</v>
      </c>
    </row>
    <row r="55" spans="1:9" x14ac:dyDescent="0.55000000000000004">
      <c r="A55" t="s">
        <v>69</v>
      </c>
      <c r="B55">
        <f t="shared" si="0"/>
        <v>4</v>
      </c>
      <c r="C55">
        <f t="shared" si="1"/>
        <v>7</v>
      </c>
      <c r="D55" t="str">
        <f t="shared" si="2"/>
        <v>241</v>
      </c>
      <c r="E55" t="str">
        <f t="shared" si="3"/>
        <v>2</v>
      </c>
      <c r="F55" t="s">
        <v>271</v>
      </c>
      <c r="G55" t="s">
        <v>187</v>
      </c>
      <c r="H55">
        <v>241</v>
      </c>
      <c r="I55">
        <v>2</v>
      </c>
    </row>
    <row r="56" spans="1:9" x14ac:dyDescent="0.55000000000000004">
      <c r="A56" t="s">
        <v>70</v>
      </c>
      <c r="B56">
        <f t="shared" si="0"/>
        <v>4</v>
      </c>
      <c r="C56">
        <f t="shared" si="1"/>
        <v>7</v>
      </c>
      <c r="D56" t="str">
        <f t="shared" si="2"/>
        <v>251</v>
      </c>
      <c r="E56" t="str">
        <f t="shared" si="3"/>
        <v>14641</v>
      </c>
      <c r="F56" t="s">
        <v>272</v>
      </c>
      <c r="G56" t="s">
        <v>273</v>
      </c>
      <c r="H56">
        <v>251</v>
      </c>
      <c r="I56">
        <v>14641</v>
      </c>
    </row>
    <row r="57" spans="1:9" x14ac:dyDescent="0.55000000000000004">
      <c r="A57" t="s">
        <v>71</v>
      </c>
      <c r="B57">
        <f t="shared" si="0"/>
        <v>4</v>
      </c>
      <c r="C57">
        <f t="shared" si="1"/>
        <v>7</v>
      </c>
      <c r="D57" t="str">
        <f t="shared" si="2"/>
        <v>257</v>
      </c>
      <c r="E57" t="str">
        <f t="shared" si="3"/>
        <v>2048</v>
      </c>
      <c r="F57" t="s">
        <v>274</v>
      </c>
      <c r="G57" t="s">
        <v>275</v>
      </c>
      <c r="H57">
        <v>257</v>
      </c>
      <c r="I57">
        <v>2048</v>
      </c>
    </row>
    <row r="58" spans="1:9" x14ac:dyDescent="0.55000000000000004">
      <c r="A58" t="s">
        <v>72</v>
      </c>
      <c r="B58">
        <f t="shared" si="0"/>
        <v>4</v>
      </c>
      <c r="C58">
        <f t="shared" si="1"/>
        <v>7</v>
      </c>
      <c r="D58" t="str">
        <f t="shared" si="2"/>
        <v>263</v>
      </c>
      <c r="E58" t="str">
        <f t="shared" si="3"/>
        <v>529</v>
      </c>
      <c r="F58" t="s">
        <v>276</v>
      </c>
      <c r="G58" t="s">
        <v>277</v>
      </c>
      <c r="H58">
        <v>263</v>
      </c>
      <c r="I58">
        <v>529</v>
      </c>
    </row>
    <row r="59" spans="1:9" x14ac:dyDescent="0.55000000000000004">
      <c r="A59" t="s">
        <v>73</v>
      </c>
      <c r="B59">
        <f t="shared" si="0"/>
        <v>4</v>
      </c>
      <c r="C59">
        <f t="shared" si="1"/>
        <v>7</v>
      </c>
      <c r="D59" t="str">
        <f t="shared" si="2"/>
        <v>269</v>
      </c>
      <c r="E59" t="str">
        <f t="shared" si="3"/>
        <v>50</v>
      </c>
      <c r="F59" t="s">
        <v>278</v>
      </c>
      <c r="G59" t="s">
        <v>194</v>
      </c>
      <c r="H59">
        <v>269</v>
      </c>
      <c r="I59">
        <v>50</v>
      </c>
    </row>
    <row r="60" spans="1:9" x14ac:dyDescent="0.55000000000000004">
      <c r="A60" t="s">
        <v>74</v>
      </c>
      <c r="B60">
        <f t="shared" si="0"/>
        <v>4</v>
      </c>
      <c r="C60">
        <f t="shared" si="1"/>
        <v>7</v>
      </c>
      <c r="D60" t="str">
        <f t="shared" si="2"/>
        <v>271</v>
      </c>
      <c r="E60" t="str">
        <f t="shared" si="3"/>
        <v>427951969</v>
      </c>
      <c r="F60" t="s">
        <v>279</v>
      </c>
      <c r="G60" t="s">
        <v>280</v>
      </c>
      <c r="H60">
        <v>271</v>
      </c>
      <c r="I60">
        <v>427951969</v>
      </c>
    </row>
    <row r="61" spans="1:9" x14ac:dyDescent="0.55000000000000004">
      <c r="A61" t="s">
        <v>75</v>
      </c>
      <c r="B61" t="e">
        <f t="shared" si="0"/>
        <v>#VALUE!</v>
      </c>
      <c r="C61" t="e">
        <f t="shared" si="1"/>
        <v>#VALUE!</v>
      </c>
      <c r="D61">
        <v>277</v>
      </c>
      <c r="E61" t="s">
        <v>186</v>
      </c>
      <c r="F61">
        <v>277</v>
      </c>
      <c r="G61" t="s">
        <v>186</v>
      </c>
      <c r="H61">
        <v>277</v>
      </c>
      <c r="I61" t="s">
        <v>186</v>
      </c>
    </row>
    <row r="62" spans="1:9" x14ac:dyDescent="0.55000000000000004">
      <c r="A62" t="s">
        <v>76</v>
      </c>
      <c r="B62">
        <f t="shared" si="0"/>
        <v>4</v>
      </c>
      <c r="C62">
        <f t="shared" si="1"/>
        <v>7</v>
      </c>
      <c r="D62" t="str">
        <f t="shared" si="2"/>
        <v>281</v>
      </c>
      <c r="E62" t="str">
        <f t="shared" si="3"/>
        <v>8050536050</v>
      </c>
      <c r="F62" t="s">
        <v>281</v>
      </c>
      <c r="G62" t="s">
        <v>282</v>
      </c>
      <c r="H62">
        <v>281</v>
      </c>
      <c r="I62">
        <v>8050536050</v>
      </c>
    </row>
    <row r="63" spans="1:9" x14ac:dyDescent="0.55000000000000004">
      <c r="A63" t="s">
        <v>77</v>
      </c>
      <c r="B63">
        <f t="shared" si="0"/>
        <v>4</v>
      </c>
      <c r="C63">
        <f t="shared" si="1"/>
        <v>7</v>
      </c>
      <c r="D63" t="str">
        <f t="shared" si="2"/>
        <v>283</v>
      </c>
      <c r="E63" t="str">
        <f t="shared" si="3"/>
        <v>488601</v>
      </c>
      <c r="F63" t="s">
        <v>283</v>
      </c>
      <c r="G63" t="s">
        <v>284</v>
      </c>
      <c r="H63">
        <v>283</v>
      </c>
      <c r="I63">
        <v>488601</v>
      </c>
    </row>
    <row r="64" spans="1:9" x14ac:dyDescent="0.55000000000000004">
      <c r="A64" t="s">
        <v>78</v>
      </c>
      <c r="B64">
        <f t="shared" si="0"/>
        <v>4</v>
      </c>
      <c r="C64">
        <f t="shared" si="1"/>
        <v>7</v>
      </c>
      <c r="D64" t="str">
        <f t="shared" si="2"/>
        <v>293</v>
      </c>
      <c r="E64" t="str">
        <f t="shared" si="3"/>
        <v>42050</v>
      </c>
      <c r="F64" t="s">
        <v>285</v>
      </c>
      <c r="G64" t="s">
        <v>286</v>
      </c>
      <c r="H64">
        <v>293</v>
      </c>
      <c r="I64">
        <v>42050</v>
      </c>
    </row>
    <row r="65" spans="1:9" x14ac:dyDescent="0.55000000000000004">
      <c r="A65" t="s">
        <v>79</v>
      </c>
      <c r="B65">
        <f t="shared" si="0"/>
        <v>4</v>
      </c>
      <c r="C65">
        <f t="shared" si="1"/>
        <v>7</v>
      </c>
      <c r="D65" t="str">
        <f t="shared" si="2"/>
        <v>307</v>
      </c>
      <c r="E65" t="str">
        <f t="shared" si="3"/>
        <v>288369</v>
      </c>
      <c r="F65" t="s">
        <v>287</v>
      </c>
      <c r="G65" t="s">
        <v>288</v>
      </c>
      <c r="H65">
        <v>307</v>
      </c>
      <c r="I65">
        <v>288369</v>
      </c>
    </row>
    <row r="66" spans="1:9" x14ac:dyDescent="0.55000000000000004">
      <c r="A66" t="s">
        <v>80</v>
      </c>
      <c r="B66">
        <f t="shared" si="0"/>
        <v>4</v>
      </c>
      <c r="C66">
        <f t="shared" si="1"/>
        <v>7</v>
      </c>
      <c r="D66" t="str">
        <f t="shared" si="2"/>
        <v>311</v>
      </c>
      <c r="E66" t="str">
        <f t="shared" si="3"/>
        <v>54289</v>
      </c>
      <c r="F66" t="s">
        <v>289</v>
      </c>
      <c r="G66" t="s">
        <v>290</v>
      </c>
      <c r="H66">
        <v>311</v>
      </c>
      <c r="I66">
        <v>54289</v>
      </c>
    </row>
    <row r="67" spans="1:9" x14ac:dyDescent="0.55000000000000004">
      <c r="A67" t="s">
        <v>81</v>
      </c>
      <c r="B67">
        <f t="shared" ref="B67:B130" si="4">FIND(":",A67)</f>
        <v>4</v>
      </c>
      <c r="C67">
        <f t="shared" ref="C67:C130" si="5">FIND("=",A67)</f>
        <v>7</v>
      </c>
      <c r="D67" t="str">
        <f t="shared" ref="D67:D130" si="6">LEFT(A67,B67-1)</f>
        <v>313</v>
      </c>
      <c r="E67" t="str">
        <f t="shared" ref="E67:E130" si="7">RIGHT(A67,LEN(A67)-C67)</f>
        <v>10000</v>
      </c>
      <c r="F67" t="s">
        <v>291</v>
      </c>
      <c r="G67" t="s">
        <v>292</v>
      </c>
      <c r="H67">
        <v>313</v>
      </c>
      <c r="I67">
        <v>10000</v>
      </c>
    </row>
    <row r="68" spans="1:9" x14ac:dyDescent="0.55000000000000004">
      <c r="A68" t="s">
        <v>82</v>
      </c>
      <c r="B68">
        <f t="shared" si="4"/>
        <v>4</v>
      </c>
      <c r="C68">
        <f t="shared" si="5"/>
        <v>7</v>
      </c>
      <c r="D68" t="str">
        <f t="shared" si="6"/>
        <v>317</v>
      </c>
      <c r="E68" t="str">
        <f t="shared" si="7"/>
        <v>784476050</v>
      </c>
      <c r="F68" t="s">
        <v>293</v>
      </c>
      <c r="G68" t="s">
        <v>294</v>
      </c>
      <c r="H68">
        <v>317</v>
      </c>
      <c r="I68">
        <v>784476050</v>
      </c>
    </row>
    <row r="69" spans="1:9" x14ac:dyDescent="0.55000000000000004">
      <c r="A69" t="s">
        <v>83</v>
      </c>
      <c r="B69">
        <f t="shared" si="4"/>
        <v>4</v>
      </c>
      <c r="C69">
        <f t="shared" si="5"/>
        <v>7</v>
      </c>
      <c r="D69" t="str">
        <f t="shared" si="6"/>
        <v>331</v>
      </c>
      <c r="E69" t="str">
        <f t="shared" si="7"/>
        <v>8415679158441</v>
      </c>
      <c r="F69" t="s">
        <v>295</v>
      </c>
      <c r="G69" t="s">
        <v>296</v>
      </c>
      <c r="H69">
        <v>331</v>
      </c>
      <c r="I69">
        <v>8415679158441</v>
      </c>
    </row>
    <row r="70" spans="1:9" x14ac:dyDescent="0.55000000000000004">
      <c r="A70" t="s">
        <v>84</v>
      </c>
      <c r="B70">
        <f t="shared" si="4"/>
        <v>4</v>
      </c>
      <c r="C70">
        <f t="shared" si="5"/>
        <v>7</v>
      </c>
      <c r="D70" t="str">
        <f t="shared" si="6"/>
        <v>337</v>
      </c>
      <c r="E70" t="str">
        <f t="shared" si="7"/>
        <v>2</v>
      </c>
      <c r="F70" t="s">
        <v>297</v>
      </c>
      <c r="G70" t="s">
        <v>187</v>
      </c>
      <c r="H70">
        <v>337</v>
      </c>
      <c r="I70">
        <v>2</v>
      </c>
    </row>
    <row r="71" spans="1:9" x14ac:dyDescent="0.55000000000000004">
      <c r="A71" t="s">
        <v>85</v>
      </c>
      <c r="B71">
        <f t="shared" si="4"/>
        <v>4</v>
      </c>
      <c r="C71">
        <f t="shared" si="5"/>
        <v>7</v>
      </c>
      <c r="D71" t="str">
        <f t="shared" si="6"/>
        <v>347</v>
      </c>
      <c r="E71" t="str">
        <f t="shared" si="7"/>
        <v>1849</v>
      </c>
      <c r="F71" t="s">
        <v>298</v>
      </c>
      <c r="G71" t="s">
        <v>299</v>
      </c>
      <c r="H71">
        <v>347</v>
      </c>
      <c r="I71">
        <v>1849</v>
      </c>
    </row>
    <row r="72" spans="1:9" x14ac:dyDescent="0.55000000000000004">
      <c r="A72" t="s">
        <v>86</v>
      </c>
      <c r="B72">
        <f t="shared" si="4"/>
        <v>4</v>
      </c>
      <c r="C72">
        <f t="shared" si="5"/>
        <v>7</v>
      </c>
      <c r="D72" t="str">
        <f t="shared" si="6"/>
        <v>349</v>
      </c>
      <c r="E72" t="str">
        <f t="shared" si="7"/>
        <v>486098</v>
      </c>
      <c r="F72" t="s">
        <v>300</v>
      </c>
      <c r="G72" t="s">
        <v>301</v>
      </c>
      <c r="H72">
        <v>349</v>
      </c>
      <c r="I72">
        <v>486098</v>
      </c>
    </row>
    <row r="73" spans="1:9" x14ac:dyDescent="0.55000000000000004">
      <c r="A73" t="s">
        <v>87</v>
      </c>
      <c r="B73">
        <f t="shared" si="4"/>
        <v>4</v>
      </c>
      <c r="C73">
        <f t="shared" si="5"/>
        <v>7</v>
      </c>
      <c r="D73" t="str">
        <f t="shared" si="6"/>
        <v>353</v>
      </c>
      <c r="E73" t="str">
        <f t="shared" si="7"/>
        <v>98</v>
      </c>
      <c r="F73" t="s">
        <v>302</v>
      </c>
      <c r="G73" t="s">
        <v>303</v>
      </c>
      <c r="H73">
        <v>353</v>
      </c>
      <c r="I73">
        <v>98</v>
      </c>
    </row>
    <row r="74" spans="1:9" x14ac:dyDescent="0.55000000000000004">
      <c r="A74" t="s">
        <v>88</v>
      </c>
      <c r="B74">
        <f t="shared" si="4"/>
        <v>4</v>
      </c>
      <c r="C74">
        <f t="shared" si="5"/>
        <v>7</v>
      </c>
      <c r="D74" t="str">
        <f t="shared" si="6"/>
        <v>359</v>
      </c>
      <c r="E74" t="str">
        <f t="shared" si="7"/>
        <v>1</v>
      </c>
      <c r="F74" t="s">
        <v>304</v>
      </c>
      <c r="G74" t="s">
        <v>188</v>
      </c>
      <c r="H74">
        <v>359</v>
      </c>
      <c r="I74">
        <v>1</v>
      </c>
    </row>
    <row r="75" spans="1:9" x14ac:dyDescent="0.55000000000000004">
      <c r="A75" t="s">
        <v>89</v>
      </c>
      <c r="B75">
        <f t="shared" si="4"/>
        <v>4</v>
      </c>
      <c r="C75">
        <f t="shared" si="5"/>
        <v>7</v>
      </c>
      <c r="D75" t="str">
        <f t="shared" si="6"/>
        <v>367</v>
      </c>
      <c r="E75" t="str">
        <f t="shared" si="7"/>
        <v>51825601</v>
      </c>
      <c r="F75" t="s">
        <v>305</v>
      </c>
      <c r="G75" t="s">
        <v>306</v>
      </c>
      <c r="H75">
        <v>367</v>
      </c>
      <c r="I75">
        <v>51825601</v>
      </c>
    </row>
    <row r="76" spans="1:9" x14ac:dyDescent="0.55000000000000004">
      <c r="A76" t="s">
        <v>90</v>
      </c>
      <c r="B76">
        <f t="shared" si="4"/>
        <v>4</v>
      </c>
      <c r="C76">
        <f t="shared" si="5"/>
        <v>7</v>
      </c>
      <c r="D76" t="str">
        <f t="shared" si="6"/>
        <v>373</v>
      </c>
      <c r="E76" t="str">
        <f t="shared" si="7"/>
        <v>140450</v>
      </c>
      <c r="F76" t="s">
        <v>307</v>
      </c>
      <c r="G76" t="s">
        <v>308</v>
      </c>
      <c r="H76">
        <v>373</v>
      </c>
      <c r="I76">
        <v>140450</v>
      </c>
    </row>
    <row r="77" spans="1:9" x14ac:dyDescent="0.55000000000000004">
      <c r="A77" t="s">
        <v>91</v>
      </c>
      <c r="B77">
        <f t="shared" si="4"/>
        <v>4</v>
      </c>
      <c r="C77">
        <f t="shared" si="5"/>
        <v>7</v>
      </c>
      <c r="D77" t="str">
        <f t="shared" si="6"/>
        <v>379</v>
      </c>
      <c r="E77" t="str">
        <f t="shared" si="7"/>
        <v>34145639104329</v>
      </c>
      <c r="F77" t="s">
        <v>309</v>
      </c>
      <c r="G77" t="s">
        <v>310</v>
      </c>
      <c r="H77">
        <v>379</v>
      </c>
      <c r="I77">
        <v>34145639104329</v>
      </c>
    </row>
    <row r="78" spans="1:9" x14ac:dyDescent="0.55000000000000004">
      <c r="A78" t="s">
        <v>92</v>
      </c>
      <c r="B78">
        <f t="shared" si="4"/>
        <v>4</v>
      </c>
      <c r="C78">
        <f t="shared" si="5"/>
        <v>7</v>
      </c>
      <c r="D78" t="str">
        <f t="shared" si="6"/>
        <v>383</v>
      </c>
      <c r="E78" t="str">
        <f t="shared" si="7"/>
        <v>49</v>
      </c>
      <c r="F78" t="s">
        <v>311</v>
      </c>
      <c r="G78" t="s">
        <v>202</v>
      </c>
      <c r="H78">
        <v>383</v>
      </c>
      <c r="I78">
        <v>49</v>
      </c>
    </row>
    <row r="79" spans="1:9" x14ac:dyDescent="0.55000000000000004">
      <c r="A79" t="s">
        <v>93</v>
      </c>
      <c r="B79">
        <f t="shared" si="4"/>
        <v>4</v>
      </c>
      <c r="C79">
        <f t="shared" si="5"/>
        <v>7</v>
      </c>
      <c r="D79" t="str">
        <f t="shared" si="6"/>
        <v>389</v>
      </c>
      <c r="E79" t="str">
        <f t="shared" si="7"/>
        <v>8450</v>
      </c>
      <c r="F79" t="s">
        <v>312</v>
      </c>
      <c r="G79" t="s">
        <v>313</v>
      </c>
      <c r="H79">
        <v>389</v>
      </c>
      <c r="I79">
        <v>8450</v>
      </c>
    </row>
    <row r="80" spans="1:9" x14ac:dyDescent="0.55000000000000004">
      <c r="A80" t="s">
        <v>94</v>
      </c>
      <c r="B80">
        <f t="shared" si="4"/>
        <v>4</v>
      </c>
      <c r="C80">
        <f t="shared" si="5"/>
        <v>7</v>
      </c>
      <c r="D80" t="str">
        <f t="shared" si="6"/>
        <v>397</v>
      </c>
      <c r="E80" t="str">
        <f t="shared" si="7"/>
        <v>16839894736704400</v>
      </c>
      <c r="F80" t="s">
        <v>314</v>
      </c>
      <c r="G80" t="s">
        <v>315</v>
      </c>
      <c r="H80">
        <v>397</v>
      </c>
      <c r="I80">
        <v>1.68398947367044E+16</v>
      </c>
    </row>
    <row r="81" spans="1:9" x14ac:dyDescent="0.55000000000000004">
      <c r="A81" t="s">
        <v>95</v>
      </c>
      <c r="B81">
        <f t="shared" si="4"/>
        <v>4</v>
      </c>
      <c r="C81">
        <f t="shared" si="5"/>
        <v>7</v>
      </c>
      <c r="D81" t="str">
        <f t="shared" si="6"/>
        <v>401</v>
      </c>
      <c r="E81" t="str">
        <f t="shared" si="7"/>
        <v>2</v>
      </c>
      <c r="F81" t="s">
        <v>316</v>
      </c>
      <c r="G81" t="s">
        <v>187</v>
      </c>
      <c r="H81">
        <v>401</v>
      </c>
      <c r="I81">
        <v>2</v>
      </c>
    </row>
    <row r="82" spans="1:9" x14ac:dyDescent="0.55000000000000004">
      <c r="A82" t="s">
        <v>96</v>
      </c>
      <c r="B82">
        <f t="shared" si="4"/>
        <v>4</v>
      </c>
      <c r="C82">
        <f t="shared" si="5"/>
        <v>7</v>
      </c>
      <c r="D82" t="str">
        <f t="shared" si="6"/>
        <v>409</v>
      </c>
      <c r="E82" t="str">
        <f t="shared" si="7"/>
        <v>8179600</v>
      </c>
      <c r="F82" t="s">
        <v>317</v>
      </c>
      <c r="G82" t="s">
        <v>318</v>
      </c>
      <c r="H82">
        <v>409</v>
      </c>
      <c r="I82">
        <v>8179600</v>
      </c>
    </row>
    <row r="83" spans="1:9" x14ac:dyDescent="0.55000000000000004">
      <c r="A83" t="s">
        <v>97</v>
      </c>
      <c r="B83">
        <f t="shared" si="4"/>
        <v>4</v>
      </c>
      <c r="C83">
        <f t="shared" si="5"/>
        <v>7</v>
      </c>
      <c r="D83" t="str">
        <f t="shared" si="6"/>
        <v>419</v>
      </c>
      <c r="E83" t="str">
        <f t="shared" si="7"/>
        <v>644809</v>
      </c>
      <c r="F83" t="s">
        <v>319</v>
      </c>
      <c r="G83" t="s">
        <v>320</v>
      </c>
      <c r="H83">
        <v>419</v>
      </c>
      <c r="I83">
        <v>644809</v>
      </c>
    </row>
    <row r="84" spans="1:9" x14ac:dyDescent="0.55000000000000004">
      <c r="A84" t="s">
        <v>98</v>
      </c>
      <c r="B84">
        <f t="shared" si="4"/>
        <v>4</v>
      </c>
      <c r="C84">
        <f t="shared" si="5"/>
        <v>7</v>
      </c>
      <c r="D84" t="str">
        <f t="shared" si="6"/>
        <v>421</v>
      </c>
      <c r="E84" t="str">
        <f t="shared" si="7"/>
        <v>13456</v>
      </c>
      <c r="F84" t="s">
        <v>321</v>
      </c>
      <c r="G84" t="s">
        <v>322</v>
      </c>
      <c r="H84">
        <v>421</v>
      </c>
      <c r="I84">
        <v>13456</v>
      </c>
    </row>
    <row r="85" spans="1:9" x14ac:dyDescent="0.55000000000000004">
      <c r="A85" t="s">
        <v>99</v>
      </c>
      <c r="B85">
        <f t="shared" si="4"/>
        <v>4</v>
      </c>
      <c r="C85">
        <f t="shared" si="5"/>
        <v>7</v>
      </c>
      <c r="D85" t="str">
        <f t="shared" si="6"/>
        <v>431</v>
      </c>
      <c r="E85" t="str">
        <f t="shared" si="7"/>
        <v>351649</v>
      </c>
      <c r="F85" t="s">
        <v>323</v>
      </c>
      <c r="G85" t="s">
        <v>324</v>
      </c>
      <c r="H85">
        <v>431</v>
      </c>
      <c r="I85">
        <v>351649</v>
      </c>
    </row>
    <row r="86" spans="1:9" x14ac:dyDescent="0.55000000000000004">
      <c r="A86" t="s">
        <v>100</v>
      </c>
      <c r="B86">
        <f t="shared" si="4"/>
        <v>4</v>
      </c>
      <c r="C86">
        <f t="shared" si="5"/>
        <v>7</v>
      </c>
      <c r="D86" t="str">
        <f t="shared" si="6"/>
        <v>433</v>
      </c>
      <c r="E86" t="str">
        <f t="shared" si="7"/>
        <v>8317456</v>
      </c>
      <c r="F86" t="s">
        <v>325</v>
      </c>
      <c r="G86" t="s">
        <v>326</v>
      </c>
      <c r="H86">
        <v>433</v>
      </c>
      <c r="I86">
        <v>8317456</v>
      </c>
    </row>
    <row r="87" spans="1:9" x14ac:dyDescent="0.55000000000000004">
      <c r="A87" t="s">
        <v>101</v>
      </c>
      <c r="B87">
        <f t="shared" si="4"/>
        <v>4</v>
      </c>
      <c r="C87">
        <f t="shared" si="5"/>
        <v>7</v>
      </c>
      <c r="D87" t="str">
        <f t="shared" si="6"/>
        <v>439</v>
      </c>
      <c r="E87" t="str">
        <f t="shared" si="7"/>
        <v>1</v>
      </c>
      <c r="F87" t="s">
        <v>327</v>
      </c>
      <c r="G87" t="s">
        <v>188</v>
      </c>
      <c r="H87">
        <v>439</v>
      </c>
      <c r="I87">
        <v>1</v>
      </c>
    </row>
    <row r="88" spans="1:9" x14ac:dyDescent="0.55000000000000004">
      <c r="A88" t="s">
        <v>102</v>
      </c>
      <c r="B88">
        <f t="shared" si="4"/>
        <v>4</v>
      </c>
      <c r="C88">
        <f t="shared" si="5"/>
        <v>7</v>
      </c>
      <c r="D88" t="str">
        <f t="shared" si="6"/>
        <v>443</v>
      </c>
      <c r="E88" t="str">
        <f t="shared" si="7"/>
        <v>1</v>
      </c>
      <c r="F88" t="s">
        <v>328</v>
      </c>
      <c r="G88" t="s">
        <v>188</v>
      </c>
      <c r="H88">
        <v>443</v>
      </c>
      <c r="I88">
        <v>1</v>
      </c>
    </row>
    <row r="89" spans="1:9" x14ac:dyDescent="0.55000000000000004">
      <c r="A89" t="s">
        <v>103</v>
      </c>
      <c r="B89">
        <f t="shared" si="4"/>
        <v>4</v>
      </c>
      <c r="C89">
        <f t="shared" si="5"/>
        <v>7</v>
      </c>
      <c r="D89" t="str">
        <f t="shared" si="6"/>
        <v>449</v>
      </c>
      <c r="E89" t="str">
        <f t="shared" si="7"/>
        <v>2</v>
      </c>
      <c r="F89" t="s">
        <v>329</v>
      </c>
      <c r="G89" t="s">
        <v>187</v>
      </c>
      <c r="H89">
        <v>449</v>
      </c>
      <c r="I89">
        <v>2</v>
      </c>
    </row>
    <row r="90" spans="1:9" x14ac:dyDescent="0.55000000000000004">
      <c r="A90" t="s">
        <v>104</v>
      </c>
      <c r="B90">
        <f t="shared" si="4"/>
        <v>4</v>
      </c>
      <c r="C90">
        <f t="shared" si="5"/>
        <v>7</v>
      </c>
      <c r="D90" t="str">
        <f t="shared" si="6"/>
        <v>457</v>
      </c>
      <c r="E90" t="str">
        <f t="shared" si="7"/>
        <v>17129830992400</v>
      </c>
      <c r="F90" t="s">
        <v>330</v>
      </c>
      <c r="G90" t="s">
        <v>331</v>
      </c>
      <c r="H90">
        <v>457</v>
      </c>
      <c r="I90">
        <v>17129830992400</v>
      </c>
    </row>
    <row r="91" spans="1:9" x14ac:dyDescent="0.55000000000000004">
      <c r="A91" t="s">
        <v>105</v>
      </c>
      <c r="B91">
        <f t="shared" si="4"/>
        <v>4</v>
      </c>
      <c r="C91">
        <f t="shared" si="5"/>
        <v>7</v>
      </c>
      <c r="D91" t="str">
        <f t="shared" si="6"/>
        <v>461</v>
      </c>
      <c r="E91" t="str">
        <f t="shared" si="7"/>
        <v>2564754642482</v>
      </c>
      <c r="F91" t="s">
        <v>332</v>
      </c>
      <c r="G91" t="s">
        <v>333</v>
      </c>
      <c r="H91">
        <v>461</v>
      </c>
      <c r="I91">
        <v>2564754642482</v>
      </c>
    </row>
    <row r="92" spans="1:9" x14ac:dyDescent="0.55000000000000004">
      <c r="A92" t="s">
        <v>106</v>
      </c>
      <c r="B92">
        <f t="shared" si="4"/>
        <v>4</v>
      </c>
      <c r="C92">
        <f t="shared" si="5"/>
        <v>7</v>
      </c>
      <c r="D92" t="str">
        <f t="shared" si="6"/>
        <v>463</v>
      </c>
      <c r="E92" t="str">
        <f t="shared" si="7"/>
        <v>534584709409</v>
      </c>
      <c r="F92" t="s">
        <v>334</v>
      </c>
      <c r="G92" t="s">
        <v>335</v>
      </c>
      <c r="H92">
        <v>463</v>
      </c>
      <c r="I92">
        <v>534584709409</v>
      </c>
    </row>
    <row r="93" spans="1:9" x14ac:dyDescent="0.55000000000000004">
      <c r="A93" t="s">
        <v>107</v>
      </c>
      <c r="B93">
        <f t="shared" si="4"/>
        <v>4</v>
      </c>
      <c r="C93">
        <f t="shared" si="5"/>
        <v>7</v>
      </c>
      <c r="D93" t="str">
        <f t="shared" si="6"/>
        <v>467</v>
      </c>
      <c r="E93" t="str">
        <f t="shared" si="7"/>
        <v>3481</v>
      </c>
      <c r="F93" t="s">
        <v>336</v>
      </c>
      <c r="G93" t="s">
        <v>337</v>
      </c>
      <c r="H93">
        <v>467</v>
      </c>
      <c r="I93">
        <v>3481</v>
      </c>
    </row>
    <row r="94" spans="1:9" x14ac:dyDescent="0.55000000000000004">
      <c r="A94" t="s">
        <v>108</v>
      </c>
      <c r="B94">
        <f t="shared" si="4"/>
        <v>4</v>
      </c>
      <c r="C94">
        <f t="shared" si="5"/>
        <v>7</v>
      </c>
      <c r="D94" t="str">
        <f t="shared" si="6"/>
        <v>479</v>
      </c>
      <c r="E94" t="str">
        <f t="shared" si="7"/>
        <v>6241</v>
      </c>
      <c r="F94" t="s">
        <v>338</v>
      </c>
      <c r="G94" t="s">
        <v>339</v>
      </c>
      <c r="H94">
        <v>479</v>
      </c>
      <c r="I94">
        <v>6241</v>
      </c>
    </row>
    <row r="95" spans="1:9" x14ac:dyDescent="0.55000000000000004">
      <c r="A95" t="s">
        <v>109</v>
      </c>
      <c r="B95">
        <f t="shared" si="4"/>
        <v>4</v>
      </c>
      <c r="C95">
        <f t="shared" si="5"/>
        <v>7</v>
      </c>
      <c r="D95" t="str">
        <f t="shared" si="6"/>
        <v>487</v>
      </c>
      <c r="E95" t="str">
        <f t="shared" si="7"/>
        <v>106583313841</v>
      </c>
      <c r="F95" t="s">
        <v>340</v>
      </c>
      <c r="G95" t="s">
        <v>341</v>
      </c>
      <c r="H95">
        <v>487</v>
      </c>
      <c r="I95">
        <v>106583313841</v>
      </c>
    </row>
    <row r="96" spans="1:9" x14ac:dyDescent="0.55000000000000004">
      <c r="A96" t="s">
        <v>110</v>
      </c>
      <c r="B96">
        <f t="shared" si="4"/>
        <v>4</v>
      </c>
      <c r="C96">
        <f t="shared" si="5"/>
        <v>7</v>
      </c>
      <c r="D96" t="str">
        <f t="shared" si="6"/>
        <v>491</v>
      </c>
      <c r="E96" t="str">
        <f t="shared" si="7"/>
        <v>318096</v>
      </c>
      <c r="F96" t="s">
        <v>342</v>
      </c>
      <c r="G96" t="s">
        <v>343</v>
      </c>
      <c r="H96">
        <v>491</v>
      </c>
      <c r="I96">
        <v>318096</v>
      </c>
    </row>
    <row r="97" spans="1:9" x14ac:dyDescent="0.55000000000000004">
      <c r="A97" t="s">
        <v>111</v>
      </c>
      <c r="B97">
        <f t="shared" si="4"/>
        <v>4</v>
      </c>
      <c r="C97">
        <f t="shared" si="5"/>
        <v>7</v>
      </c>
      <c r="D97" t="str">
        <f t="shared" si="6"/>
        <v>499</v>
      </c>
      <c r="E97" t="str">
        <f t="shared" si="7"/>
        <v>9</v>
      </c>
      <c r="F97" t="s">
        <v>344</v>
      </c>
      <c r="G97" t="s">
        <v>197</v>
      </c>
      <c r="H97">
        <v>499</v>
      </c>
      <c r="I97">
        <v>9</v>
      </c>
    </row>
    <row r="98" spans="1:9" x14ac:dyDescent="0.55000000000000004">
      <c r="A98" t="s">
        <v>112</v>
      </c>
      <c r="B98">
        <f t="shared" si="4"/>
        <v>4</v>
      </c>
      <c r="C98">
        <f t="shared" si="5"/>
        <v>7</v>
      </c>
      <c r="D98" t="str">
        <f t="shared" si="6"/>
        <v>503</v>
      </c>
      <c r="E98" t="str">
        <f t="shared" si="7"/>
        <v>49</v>
      </c>
      <c r="F98" t="s">
        <v>345</v>
      </c>
      <c r="G98" t="s">
        <v>202</v>
      </c>
      <c r="H98">
        <v>503</v>
      </c>
      <c r="I98">
        <v>49</v>
      </c>
    </row>
    <row r="99" spans="1:9" x14ac:dyDescent="0.55000000000000004">
      <c r="A99" t="s">
        <v>113</v>
      </c>
      <c r="B99">
        <f t="shared" si="4"/>
        <v>4</v>
      </c>
      <c r="C99">
        <f t="shared" si="5"/>
        <v>7</v>
      </c>
      <c r="D99" t="str">
        <f t="shared" si="6"/>
        <v>509</v>
      </c>
      <c r="E99" t="str">
        <f t="shared" si="7"/>
        <v>615326563501778</v>
      </c>
      <c r="F99" t="s">
        <v>346</v>
      </c>
      <c r="G99" t="s">
        <v>347</v>
      </c>
      <c r="H99">
        <v>509</v>
      </c>
      <c r="I99">
        <v>615326563501778</v>
      </c>
    </row>
    <row r="100" spans="1:9" x14ac:dyDescent="0.55000000000000004">
      <c r="A100" t="s">
        <v>114</v>
      </c>
      <c r="B100">
        <f t="shared" si="4"/>
        <v>4</v>
      </c>
      <c r="C100">
        <f t="shared" si="5"/>
        <v>7</v>
      </c>
      <c r="D100" t="str">
        <f t="shared" si="6"/>
        <v>521</v>
      </c>
      <c r="E100" t="str">
        <f t="shared" si="7"/>
        <v>6512490000</v>
      </c>
      <c r="F100" t="s">
        <v>348</v>
      </c>
      <c r="G100" t="s">
        <v>349</v>
      </c>
      <c r="H100">
        <v>521</v>
      </c>
      <c r="I100">
        <v>6512490000</v>
      </c>
    </row>
    <row r="101" spans="1:9" x14ac:dyDescent="0.55000000000000004">
      <c r="A101" t="s">
        <v>115</v>
      </c>
      <c r="B101">
        <f t="shared" si="4"/>
        <v>4</v>
      </c>
      <c r="C101">
        <f t="shared" si="5"/>
        <v>7</v>
      </c>
      <c r="D101" t="str">
        <f t="shared" si="6"/>
        <v>523</v>
      </c>
      <c r="E101" t="str">
        <f t="shared" si="7"/>
        <v>156425049</v>
      </c>
      <c r="F101" t="s">
        <v>350</v>
      </c>
      <c r="G101" t="s">
        <v>351</v>
      </c>
      <c r="H101">
        <v>523</v>
      </c>
      <c r="I101">
        <v>156425049</v>
      </c>
    </row>
    <row r="102" spans="1:9" x14ac:dyDescent="0.55000000000000004">
      <c r="A102" t="s">
        <v>116</v>
      </c>
      <c r="B102" t="e">
        <f t="shared" si="4"/>
        <v>#VALUE!</v>
      </c>
      <c r="C102" t="e">
        <f t="shared" si="5"/>
        <v>#VALUE!</v>
      </c>
      <c r="D102">
        <v>541</v>
      </c>
      <c r="E102" t="s">
        <v>186</v>
      </c>
      <c r="F102">
        <v>541</v>
      </c>
      <c r="G102" t="s">
        <v>186</v>
      </c>
      <c r="H102">
        <v>541</v>
      </c>
      <c r="I102" t="s">
        <v>186</v>
      </c>
    </row>
    <row r="103" spans="1:9" x14ac:dyDescent="0.55000000000000004">
      <c r="A103" t="s">
        <v>117</v>
      </c>
      <c r="B103">
        <f t="shared" si="4"/>
        <v>4</v>
      </c>
      <c r="C103">
        <f t="shared" si="5"/>
        <v>7</v>
      </c>
      <c r="D103" t="str">
        <f t="shared" si="6"/>
        <v>547</v>
      </c>
      <c r="E103" t="str">
        <f t="shared" si="7"/>
        <v>292829252769</v>
      </c>
      <c r="F103" t="s">
        <v>352</v>
      </c>
      <c r="G103" t="s">
        <v>353</v>
      </c>
      <c r="H103">
        <v>547</v>
      </c>
      <c r="I103">
        <v>292829252769</v>
      </c>
    </row>
    <row r="104" spans="1:9" x14ac:dyDescent="0.55000000000000004">
      <c r="A104" t="s">
        <v>118</v>
      </c>
      <c r="B104">
        <f t="shared" si="4"/>
        <v>4</v>
      </c>
      <c r="C104">
        <f t="shared" si="5"/>
        <v>7</v>
      </c>
      <c r="D104" t="str">
        <f t="shared" si="6"/>
        <v>557</v>
      </c>
      <c r="E104" t="str">
        <f t="shared" si="7"/>
        <v>50</v>
      </c>
      <c r="F104" t="s">
        <v>354</v>
      </c>
      <c r="G104" t="s">
        <v>194</v>
      </c>
      <c r="H104">
        <v>557</v>
      </c>
      <c r="I104">
        <v>50</v>
      </c>
    </row>
    <row r="105" spans="1:9" x14ac:dyDescent="0.55000000000000004">
      <c r="A105" t="s">
        <v>119</v>
      </c>
      <c r="B105">
        <f t="shared" si="4"/>
        <v>4</v>
      </c>
      <c r="C105">
        <f t="shared" si="5"/>
        <v>7</v>
      </c>
      <c r="D105" t="str">
        <f t="shared" si="6"/>
        <v>563</v>
      </c>
      <c r="E105" t="str">
        <f t="shared" si="7"/>
        <v>121</v>
      </c>
      <c r="F105" t="s">
        <v>355</v>
      </c>
      <c r="G105" t="s">
        <v>356</v>
      </c>
      <c r="H105">
        <v>563</v>
      </c>
      <c r="I105">
        <v>121</v>
      </c>
    </row>
    <row r="106" spans="1:9" x14ac:dyDescent="0.55000000000000004">
      <c r="A106" t="s">
        <v>120</v>
      </c>
      <c r="B106">
        <f t="shared" si="4"/>
        <v>4</v>
      </c>
      <c r="C106">
        <f t="shared" si="5"/>
        <v>7</v>
      </c>
      <c r="D106" t="str">
        <f t="shared" si="6"/>
        <v>569</v>
      </c>
      <c r="E106" t="str">
        <f t="shared" si="7"/>
        <v>29456016189180050</v>
      </c>
      <c r="F106" t="s">
        <v>357</v>
      </c>
      <c r="G106" t="s">
        <v>358</v>
      </c>
      <c r="H106">
        <v>569</v>
      </c>
      <c r="I106">
        <v>2.945601618918E+16</v>
      </c>
    </row>
    <row r="107" spans="1:9" x14ac:dyDescent="0.55000000000000004">
      <c r="A107" t="s">
        <v>121</v>
      </c>
      <c r="B107">
        <f t="shared" si="4"/>
        <v>4</v>
      </c>
      <c r="C107">
        <f t="shared" si="5"/>
        <v>7</v>
      </c>
      <c r="D107" t="str">
        <f t="shared" si="6"/>
        <v>571</v>
      </c>
      <c r="E107" t="str">
        <f t="shared" si="7"/>
        <v>2878968482240400</v>
      </c>
      <c r="F107" t="s">
        <v>359</v>
      </c>
      <c r="G107" t="s">
        <v>360</v>
      </c>
      <c r="H107">
        <v>571</v>
      </c>
      <c r="I107">
        <v>2878968482240400</v>
      </c>
    </row>
    <row r="108" spans="1:9" x14ac:dyDescent="0.55000000000000004">
      <c r="A108" t="s">
        <v>122</v>
      </c>
      <c r="B108">
        <f t="shared" si="4"/>
        <v>4</v>
      </c>
      <c r="C108">
        <f t="shared" si="5"/>
        <v>7</v>
      </c>
      <c r="D108" t="str">
        <f t="shared" si="6"/>
        <v>577</v>
      </c>
      <c r="E108" t="str">
        <f t="shared" si="7"/>
        <v>2</v>
      </c>
      <c r="F108" t="s">
        <v>361</v>
      </c>
      <c r="G108" t="s">
        <v>187</v>
      </c>
      <c r="H108">
        <v>577</v>
      </c>
      <c r="I108">
        <v>2</v>
      </c>
    </row>
    <row r="109" spans="1:9" x14ac:dyDescent="0.55000000000000004">
      <c r="A109" t="s">
        <v>122</v>
      </c>
      <c r="B109">
        <f t="shared" si="4"/>
        <v>4</v>
      </c>
      <c r="C109">
        <f t="shared" si="5"/>
        <v>7</v>
      </c>
      <c r="D109" t="str">
        <f t="shared" si="6"/>
        <v>577</v>
      </c>
      <c r="E109" t="str">
        <f t="shared" si="7"/>
        <v>2</v>
      </c>
      <c r="F109" t="s">
        <v>361</v>
      </c>
      <c r="G109" t="s">
        <v>187</v>
      </c>
      <c r="H109">
        <v>577</v>
      </c>
      <c r="I109">
        <v>2</v>
      </c>
    </row>
    <row r="110" spans="1:9" x14ac:dyDescent="0.55000000000000004">
      <c r="A110" t="s">
        <v>123</v>
      </c>
      <c r="B110">
        <f t="shared" si="4"/>
        <v>4</v>
      </c>
      <c r="C110">
        <f t="shared" si="5"/>
        <v>7</v>
      </c>
      <c r="D110" t="str">
        <f t="shared" si="6"/>
        <v>587</v>
      </c>
      <c r="E110" t="str">
        <f t="shared" si="7"/>
        <v>3249</v>
      </c>
      <c r="F110" t="s">
        <v>362</v>
      </c>
      <c r="G110" t="s">
        <v>363</v>
      </c>
      <c r="H110">
        <v>587</v>
      </c>
      <c r="I110">
        <v>3249</v>
      </c>
    </row>
    <row r="111" spans="1:9" x14ac:dyDescent="0.55000000000000004">
      <c r="A111" t="s">
        <v>124</v>
      </c>
      <c r="B111">
        <f t="shared" si="4"/>
        <v>4</v>
      </c>
      <c r="C111">
        <f t="shared" si="5"/>
        <v>7</v>
      </c>
      <c r="D111" t="str">
        <f t="shared" si="6"/>
        <v>593</v>
      </c>
      <c r="E111" t="str">
        <f t="shared" si="7"/>
        <v>1216724450</v>
      </c>
      <c r="F111" t="s">
        <v>364</v>
      </c>
      <c r="G111" t="s">
        <v>365</v>
      </c>
      <c r="H111">
        <v>593</v>
      </c>
      <c r="I111">
        <v>1216724450</v>
      </c>
    </row>
    <row r="112" spans="1:9" x14ac:dyDescent="0.55000000000000004">
      <c r="A112" t="s">
        <v>125</v>
      </c>
      <c r="B112">
        <f t="shared" si="4"/>
        <v>4</v>
      </c>
      <c r="C112">
        <f t="shared" si="5"/>
        <v>7</v>
      </c>
      <c r="D112" t="str">
        <f t="shared" si="6"/>
        <v>599</v>
      </c>
      <c r="E112" t="str">
        <f t="shared" si="7"/>
        <v>41212654081</v>
      </c>
      <c r="F112" t="s">
        <v>366</v>
      </c>
      <c r="G112" t="s">
        <v>367</v>
      </c>
      <c r="H112">
        <v>599</v>
      </c>
      <c r="I112">
        <v>41212654081</v>
      </c>
    </row>
    <row r="113" spans="1:9" x14ac:dyDescent="0.55000000000000004">
      <c r="A113" t="s">
        <v>126</v>
      </c>
      <c r="B113">
        <f t="shared" si="4"/>
        <v>4</v>
      </c>
      <c r="C113">
        <f t="shared" si="5"/>
        <v>7</v>
      </c>
      <c r="D113" t="str">
        <f t="shared" si="6"/>
        <v>601</v>
      </c>
      <c r="E113" t="str">
        <f t="shared" si="7"/>
        <v>389376</v>
      </c>
      <c r="F113" t="s">
        <v>368</v>
      </c>
      <c r="G113" t="s">
        <v>369</v>
      </c>
      <c r="H113">
        <v>601</v>
      </c>
      <c r="I113">
        <v>389376</v>
      </c>
    </row>
    <row r="114" spans="1:9" x14ac:dyDescent="0.55000000000000004">
      <c r="A114" t="s">
        <v>127</v>
      </c>
      <c r="B114">
        <f t="shared" si="4"/>
        <v>4</v>
      </c>
      <c r="C114">
        <f t="shared" si="5"/>
        <v>7</v>
      </c>
      <c r="D114" t="str">
        <f t="shared" si="6"/>
        <v>607</v>
      </c>
      <c r="E114" t="str">
        <f t="shared" si="7"/>
        <v>270306481</v>
      </c>
      <c r="F114" t="s">
        <v>370</v>
      </c>
      <c r="G114" t="s">
        <v>371</v>
      </c>
      <c r="H114">
        <v>607</v>
      </c>
      <c r="I114">
        <v>270306481</v>
      </c>
    </row>
    <row r="115" spans="1:9" x14ac:dyDescent="0.55000000000000004">
      <c r="A115" t="s">
        <v>128</v>
      </c>
      <c r="B115">
        <f t="shared" si="4"/>
        <v>4</v>
      </c>
      <c r="C115">
        <f t="shared" si="5"/>
        <v>7</v>
      </c>
      <c r="D115" t="str">
        <f t="shared" si="6"/>
        <v>613</v>
      </c>
      <c r="E115" t="str">
        <f t="shared" si="7"/>
        <v>19600</v>
      </c>
      <c r="F115" t="s">
        <v>372</v>
      </c>
      <c r="G115" t="s">
        <v>373</v>
      </c>
      <c r="H115">
        <v>613</v>
      </c>
      <c r="I115">
        <v>19600</v>
      </c>
    </row>
    <row r="116" spans="1:9" x14ac:dyDescent="0.55000000000000004">
      <c r="A116" t="s">
        <v>129</v>
      </c>
      <c r="B116">
        <f t="shared" si="4"/>
        <v>4</v>
      </c>
      <c r="C116">
        <f t="shared" si="5"/>
        <v>7</v>
      </c>
      <c r="D116" t="str">
        <f t="shared" si="6"/>
        <v>617</v>
      </c>
      <c r="E116" t="str">
        <f t="shared" si="7"/>
        <v>5451529356242</v>
      </c>
      <c r="F116" t="s">
        <v>374</v>
      </c>
      <c r="G116" t="s">
        <v>375</v>
      </c>
      <c r="H116">
        <v>617</v>
      </c>
      <c r="I116">
        <v>5451529356242</v>
      </c>
    </row>
    <row r="117" spans="1:9" x14ac:dyDescent="0.55000000000000004">
      <c r="A117" t="s">
        <v>130</v>
      </c>
      <c r="B117">
        <f t="shared" si="4"/>
        <v>4</v>
      </c>
      <c r="C117">
        <f t="shared" si="5"/>
        <v>7</v>
      </c>
      <c r="D117" t="str">
        <f t="shared" si="6"/>
        <v>619</v>
      </c>
      <c r="E117" t="str">
        <f t="shared" si="7"/>
        <v>2631690000</v>
      </c>
      <c r="F117" t="s">
        <v>376</v>
      </c>
      <c r="G117" t="s">
        <v>377</v>
      </c>
      <c r="H117">
        <v>619</v>
      </c>
      <c r="I117">
        <v>2631690000</v>
      </c>
    </row>
    <row r="118" spans="1:9" x14ac:dyDescent="0.55000000000000004">
      <c r="A118" t="s">
        <v>131</v>
      </c>
      <c r="B118" t="e">
        <f t="shared" si="4"/>
        <v>#VALUE!</v>
      </c>
      <c r="C118" t="e">
        <f t="shared" si="5"/>
        <v>#VALUE!</v>
      </c>
      <c r="D118">
        <v>631</v>
      </c>
      <c r="E118" t="s">
        <v>186</v>
      </c>
      <c r="F118">
        <v>631</v>
      </c>
      <c r="G118" t="s">
        <v>186</v>
      </c>
      <c r="H118">
        <v>631</v>
      </c>
      <c r="I118" t="s">
        <v>186</v>
      </c>
    </row>
    <row r="119" spans="1:9" x14ac:dyDescent="0.55000000000000004">
      <c r="A119" t="s">
        <v>132</v>
      </c>
      <c r="B119">
        <f t="shared" si="4"/>
        <v>4</v>
      </c>
      <c r="C119">
        <f t="shared" si="5"/>
        <v>7</v>
      </c>
      <c r="D119" t="str">
        <f t="shared" si="6"/>
        <v>641</v>
      </c>
      <c r="E119" t="str">
        <f t="shared" si="7"/>
        <v>5320322</v>
      </c>
      <c r="F119" t="s">
        <v>378</v>
      </c>
      <c r="G119" t="s">
        <v>379</v>
      </c>
      <c r="H119">
        <v>641</v>
      </c>
      <c r="I119">
        <v>5320322</v>
      </c>
    </row>
    <row r="120" spans="1:9" x14ac:dyDescent="0.55000000000000004">
      <c r="A120" t="s">
        <v>133</v>
      </c>
      <c r="B120">
        <f t="shared" si="4"/>
        <v>4</v>
      </c>
      <c r="C120">
        <f t="shared" si="5"/>
        <v>7</v>
      </c>
      <c r="D120" t="str">
        <f t="shared" si="6"/>
        <v>643</v>
      </c>
      <c r="E120" t="str">
        <f t="shared" si="7"/>
        <v>3093250689</v>
      </c>
      <c r="F120" t="s">
        <v>380</v>
      </c>
      <c r="G120" t="s">
        <v>381</v>
      </c>
      <c r="H120">
        <v>643</v>
      </c>
      <c r="I120">
        <v>3093250689</v>
      </c>
    </row>
    <row r="121" spans="1:9" x14ac:dyDescent="0.55000000000000004">
      <c r="A121" t="s">
        <v>134</v>
      </c>
      <c r="B121">
        <f t="shared" si="4"/>
        <v>4</v>
      </c>
      <c r="C121">
        <f t="shared" si="5"/>
        <v>7</v>
      </c>
      <c r="D121" t="str">
        <f t="shared" si="6"/>
        <v>647</v>
      </c>
      <c r="E121" t="str">
        <f t="shared" si="7"/>
        <v>5184</v>
      </c>
      <c r="F121" t="s">
        <v>382</v>
      </c>
      <c r="G121" t="s">
        <v>383</v>
      </c>
      <c r="H121">
        <v>647</v>
      </c>
      <c r="I121">
        <v>5184</v>
      </c>
    </row>
    <row r="122" spans="1:9" x14ac:dyDescent="0.55000000000000004">
      <c r="A122" t="s">
        <v>135</v>
      </c>
      <c r="B122">
        <f t="shared" si="4"/>
        <v>4</v>
      </c>
      <c r="C122">
        <f t="shared" si="5"/>
        <v>7</v>
      </c>
      <c r="D122" t="str">
        <f t="shared" si="6"/>
        <v>653</v>
      </c>
      <c r="E122" t="str">
        <f t="shared" si="7"/>
        <v>16079611896902450</v>
      </c>
      <c r="F122" t="s">
        <v>384</v>
      </c>
      <c r="G122" t="s">
        <v>385</v>
      </c>
      <c r="H122">
        <v>653</v>
      </c>
      <c r="I122">
        <v>1.60796118969024E+16</v>
      </c>
    </row>
    <row r="123" spans="1:9" x14ac:dyDescent="0.55000000000000004">
      <c r="A123" t="s">
        <v>136</v>
      </c>
      <c r="B123">
        <f t="shared" si="4"/>
        <v>4</v>
      </c>
      <c r="C123">
        <f t="shared" si="5"/>
        <v>7</v>
      </c>
      <c r="D123" t="str">
        <f t="shared" si="6"/>
        <v>659</v>
      </c>
      <c r="E123" t="str">
        <f t="shared" si="7"/>
        <v>9</v>
      </c>
      <c r="F123" t="s">
        <v>386</v>
      </c>
      <c r="G123" t="s">
        <v>197</v>
      </c>
      <c r="H123">
        <v>659</v>
      </c>
      <c r="I123">
        <v>9</v>
      </c>
    </row>
    <row r="124" spans="1:9" x14ac:dyDescent="0.55000000000000004">
      <c r="A124" t="s">
        <v>137</v>
      </c>
      <c r="B124">
        <f t="shared" si="4"/>
        <v>4</v>
      </c>
      <c r="C124">
        <f t="shared" si="5"/>
        <v>7</v>
      </c>
      <c r="D124" t="str">
        <f t="shared" si="6"/>
        <v>661</v>
      </c>
      <c r="E124" t="str">
        <f t="shared" si="7"/>
        <v>9610015005507856</v>
      </c>
      <c r="F124" t="s">
        <v>387</v>
      </c>
      <c r="G124" t="s">
        <v>388</v>
      </c>
      <c r="H124">
        <v>661</v>
      </c>
      <c r="I124">
        <v>9610015005507850</v>
      </c>
    </row>
    <row r="125" spans="1:9" x14ac:dyDescent="0.55000000000000004">
      <c r="A125" t="s">
        <v>138</v>
      </c>
      <c r="B125">
        <f t="shared" si="4"/>
        <v>4</v>
      </c>
      <c r="C125">
        <f t="shared" si="5"/>
        <v>7</v>
      </c>
      <c r="D125" t="str">
        <f t="shared" si="6"/>
        <v>673</v>
      </c>
      <c r="E125" t="str">
        <f t="shared" si="7"/>
        <v>506018</v>
      </c>
      <c r="F125" t="s">
        <v>389</v>
      </c>
      <c r="G125" t="s">
        <v>390</v>
      </c>
      <c r="H125">
        <v>673</v>
      </c>
      <c r="I125">
        <v>506018</v>
      </c>
    </row>
    <row r="126" spans="1:9" x14ac:dyDescent="0.55000000000000004">
      <c r="A126" t="s">
        <v>139</v>
      </c>
      <c r="B126">
        <f t="shared" si="4"/>
        <v>4</v>
      </c>
      <c r="C126">
        <f t="shared" si="5"/>
        <v>7</v>
      </c>
      <c r="D126" t="str">
        <f t="shared" si="6"/>
        <v>677</v>
      </c>
      <c r="E126" t="str">
        <f t="shared" si="7"/>
        <v>2</v>
      </c>
      <c r="F126" t="s">
        <v>391</v>
      </c>
      <c r="G126" t="s">
        <v>187</v>
      </c>
      <c r="H126">
        <v>677</v>
      </c>
      <c r="I126">
        <v>2</v>
      </c>
    </row>
    <row r="127" spans="1:9" x14ac:dyDescent="0.55000000000000004">
      <c r="A127" t="s">
        <v>140</v>
      </c>
      <c r="B127">
        <f t="shared" si="4"/>
        <v>4</v>
      </c>
      <c r="C127">
        <f t="shared" si="5"/>
        <v>7</v>
      </c>
      <c r="D127" t="str">
        <f t="shared" si="6"/>
        <v>683</v>
      </c>
      <c r="E127" t="str">
        <f t="shared" si="7"/>
        <v>249001</v>
      </c>
      <c r="F127" t="s">
        <v>392</v>
      </c>
      <c r="G127" t="s">
        <v>393</v>
      </c>
      <c r="H127">
        <v>683</v>
      </c>
      <c r="I127">
        <v>249001</v>
      </c>
    </row>
    <row r="128" spans="1:9" x14ac:dyDescent="0.55000000000000004">
      <c r="A128" t="s">
        <v>141</v>
      </c>
      <c r="B128">
        <f t="shared" si="4"/>
        <v>4</v>
      </c>
      <c r="C128">
        <f t="shared" si="5"/>
        <v>7</v>
      </c>
      <c r="D128" t="str">
        <f t="shared" si="6"/>
        <v>691</v>
      </c>
      <c r="E128" t="str">
        <f t="shared" si="7"/>
        <v>489389790096</v>
      </c>
      <c r="F128" t="s">
        <v>394</v>
      </c>
      <c r="G128" t="s">
        <v>395</v>
      </c>
      <c r="H128">
        <v>691</v>
      </c>
      <c r="I128">
        <v>489389790096</v>
      </c>
    </row>
    <row r="129" spans="1:9" x14ac:dyDescent="0.55000000000000004">
      <c r="A129" t="s">
        <v>142</v>
      </c>
      <c r="B129">
        <f t="shared" si="4"/>
        <v>4</v>
      </c>
      <c r="C129">
        <f t="shared" si="5"/>
        <v>7</v>
      </c>
      <c r="D129" t="str">
        <f t="shared" si="6"/>
        <v>701</v>
      </c>
      <c r="E129" t="str">
        <f t="shared" si="7"/>
        <v>396050</v>
      </c>
      <c r="F129" t="s">
        <v>396</v>
      </c>
      <c r="G129" t="s">
        <v>397</v>
      </c>
      <c r="H129">
        <v>701</v>
      </c>
      <c r="I129">
        <v>396050</v>
      </c>
    </row>
    <row r="130" spans="1:9" x14ac:dyDescent="0.55000000000000004">
      <c r="A130" t="s">
        <v>143</v>
      </c>
      <c r="B130">
        <f t="shared" si="4"/>
        <v>4</v>
      </c>
      <c r="C130">
        <f t="shared" si="5"/>
        <v>7</v>
      </c>
      <c r="D130" t="str">
        <f t="shared" si="6"/>
        <v>709</v>
      </c>
      <c r="E130" t="str">
        <f t="shared" si="7"/>
        <v>939044674178</v>
      </c>
      <c r="F130" t="s">
        <v>398</v>
      </c>
      <c r="G130" t="s">
        <v>399</v>
      </c>
      <c r="H130">
        <v>709</v>
      </c>
      <c r="I130">
        <v>939044674178</v>
      </c>
    </row>
    <row r="131" spans="1:9" x14ac:dyDescent="0.55000000000000004">
      <c r="A131" t="s">
        <v>144</v>
      </c>
      <c r="B131">
        <f t="shared" ref="B131:B171" si="8">FIND(":",A131)</f>
        <v>4</v>
      </c>
      <c r="C131">
        <f t="shared" ref="C131:C171" si="9">FIND("=",A131)</f>
        <v>7</v>
      </c>
      <c r="D131" t="str">
        <f t="shared" ref="D131:D171" si="10">LEFT(A131,B131-1)</f>
        <v>719</v>
      </c>
      <c r="E131" t="str">
        <f t="shared" ref="E131:E171" si="11">RIGHT(A131,LEN(A131)-C131)</f>
        <v>561168721</v>
      </c>
      <c r="F131" t="s">
        <v>400</v>
      </c>
      <c r="G131" t="s">
        <v>401</v>
      </c>
      <c r="H131">
        <v>719</v>
      </c>
      <c r="I131">
        <v>561168721</v>
      </c>
    </row>
    <row r="132" spans="1:9" x14ac:dyDescent="0.55000000000000004">
      <c r="A132" t="s">
        <v>145</v>
      </c>
      <c r="B132">
        <f t="shared" si="8"/>
        <v>4</v>
      </c>
      <c r="C132">
        <f t="shared" si="9"/>
        <v>7</v>
      </c>
      <c r="D132" t="str">
        <f t="shared" si="10"/>
        <v>727</v>
      </c>
      <c r="E132" t="str">
        <f t="shared" si="11"/>
        <v>1</v>
      </c>
      <c r="F132" t="s">
        <v>402</v>
      </c>
      <c r="G132" t="s">
        <v>188</v>
      </c>
      <c r="H132">
        <v>727</v>
      </c>
      <c r="I132">
        <v>1</v>
      </c>
    </row>
    <row r="133" spans="1:9" x14ac:dyDescent="0.55000000000000004">
      <c r="A133" t="s">
        <v>146</v>
      </c>
      <c r="B133">
        <f t="shared" si="8"/>
        <v>4</v>
      </c>
      <c r="C133">
        <f t="shared" si="9"/>
        <v>7</v>
      </c>
      <c r="D133" t="str">
        <f t="shared" si="10"/>
        <v>733</v>
      </c>
      <c r="E133" t="str">
        <f t="shared" si="11"/>
        <v>266450</v>
      </c>
      <c r="F133" t="s">
        <v>403</v>
      </c>
      <c r="G133" t="s">
        <v>404</v>
      </c>
      <c r="H133">
        <v>733</v>
      </c>
      <c r="I133">
        <v>266450</v>
      </c>
    </row>
    <row r="134" spans="1:9" x14ac:dyDescent="0.55000000000000004">
      <c r="A134" t="s">
        <v>147</v>
      </c>
      <c r="B134">
        <f t="shared" si="8"/>
        <v>4</v>
      </c>
      <c r="C134">
        <f t="shared" si="9"/>
        <v>7</v>
      </c>
      <c r="D134" t="str">
        <f t="shared" si="10"/>
        <v>739</v>
      </c>
      <c r="E134" t="str">
        <f t="shared" si="11"/>
        <v>38787984</v>
      </c>
      <c r="F134" t="s">
        <v>405</v>
      </c>
      <c r="G134" t="s">
        <v>406</v>
      </c>
      <c r="H134">
        <v>739</v>
      </c>
      <c r="I134">
        <v>38787984</v>
      </c>
    </row>
    <row r="135" spans="1:9" x14ac:dyDescent="0.55000000000000004">
      <c r="A135" t="s">
        <v>148</v>
      </c>
      <c r="B135">
        <f t="shared" si="8"/>
        <v>4</v>
      </c>
      <c r="C135">
        <f t="shared" si="9"/>
        <v>7</v>
      </c>
      <c r="D135" t="str">
        <f t="shared" si="10"/>
        <v>743</v>
      </c>
      <c r="E135" t="str">
        <f t="shared" si="11"/>
        <v>961</v>
      </c>
      <c r="F135" t="s">
        <v>407</v>
      </c>
      <c r="G135" t="s">
        <v>408</v>
      </c>
      <c r="H135">
        <v>743</v>
      </c>
      <c r="I135">
        <v>961</v>
      </c>
    </row>
    <row r="136" spans="1:9" x14ac:dyDescent="0.55000000000000004">
      <c r="A136" t="s">
        <v>149</v>
      </c>
      <c r="B136" t="e">
        <f t="shared" si="8"/>
        <v>#VALUE!</v>
      </c>
      <c r="C136" t="e">
        <f t="shared" si="9"/>
        <v>#VALUE!</v>
      </c>
      <c r="D136">
        <v>751</v>
      </c>
      <c r="E136" t="s">
        <v>186</v>
      </c>
      <c r="F136">
        <v>751</v>
      </c>
      <c r="G136" t="s">
        <v>186</v>
      </c>
      <c r="H136">
        <v>751</v>
      </c>
      <c r="I136" t="s">
        <v>186</v>
      </c>
    </row>
    <row r="137" spans="1:9" x14ac:dyDescent="0.55000000000000004">
      <c r="A137" t="s">
        <v>150</v>
      </c>
      <c r="B137">
        <f t="shared" si="8"/>
        <v>4</v>
      </c>
      <c r="C137">
        <f t="shared" si="9"/>
        <v>7</v>
      </c>
      <c r="D137" t="str">
        <f t="shared" si="10"/>
        <v>757</v>
      </c>
      <c r="E137" t="str">
        <f t="shared" si="11"/>
        <v>4953906722</v>
      </c>
      <c r="F137" t="s">
        <v>409</v>
      </c>
      <c r="G137" t="s">
        <v>410</v>
      </c>
      <c r="H137">
        <v>757</v>
      </c>
      <c r="I137">
        <v>4953906722</v>
      </c>
    </row>
    <row r="138" spans="1:9" x14ac:dyDescent="0.55000000000000004">
      <c r="A138" t="s">
        <v>151</v>
      </c>
      <c r="B138">
        <f t="shared" si="8"/>
        <v>4</v>
      </c>
      <c r="C138">
        <f t="shared" si="9"/>
        <v>7</v>
      </c>
      <c r="D138" t="str">
        <f t="shared" si="10"/>
        <v>761</v>
      </c>
      <c r="E138" t="str">
        <f t="shared" si="11"/>
        <v>24336</v>
      </c>
      <c r="F138" t="s">
        <v>411</v>
      </c>
      <c r="G138" t="s">
        <v>412</v>
      </c>
      <c r="H138">
        <v>761</v>
      </c>
      <c r="I138">
        <v>24336</v>
      </c>
    </row>
    <row r="139" spans="1:9" x14ac:dyDescent="0.55000000000000004">
      <c r="A139" t="s">
        <v>152</v>
      </c>
      <c r="B139">
        <f t="shared" si="8"/>
        <v>4</v>
      </c>
      <c r="C139">
        <f t="shared" si="9"/>
        <v>7</v>
      </c>
      <c r="D139" t="str">
        <f t="shared" si="10"/>
        <v>769</v>
      </c>
      <c r="E139" t="str">
        <f t="shared" si="11"/>
        <v>1058</v>
      </c>
      <c r="F139" t="s">
        <v>413</v>
      </c>
      <c r="G139" t="s">
        <v>414</v>
      </c>
      <c r="H139">
        <v>769</v>
      </c>
      <c r="I139">
        <v>1058</v>
      </c>
    </row>
    <row r="140" spans="1:9" x14ac:dyDescent="0.55000000000000004">
      <c r="A140" t="s">
        <v>153</v>
      </c>
      <c r="B140">
        <f t="shared" si="8"/>
        <v>4</v>
      </c>
      <c r="C140">
        <f t="shared" si="9"/>
        <v>7</v>
      </c>
      <c r="D140" t="str">
        <f t="shared" si="10"/>
        <v>773</v>
      </c>
      <c r="E140" t="str">
        <f t="shared" si="11"/>
        <v>4666746050</v>
      </c>
      <c r="F140" t="s">
        <v>415</v>
      </c>
      <c r="G140" t="s">
        <v>416</v>
      </c>
      <c r="H140">
        <v>773</v>
      </c>
      <c r="I140">
        <v>4666746050</v>
      </c>
    </row>
    <row r="141" spans="1:9" x14ac:dyDescent="0.55000000000000004">
      <c r="A141" t="s">
        <v>154</v>
      </c>
      <c r="B141">
        <f t="shared" si="8"/>
        <v>4</v>
      </c>
      <c r="C141">
        <f t="shared" si="9"/>
        <v>7</v>
      </c>
      <c r="D141" t="str">
        <f t="shared" si="10"/>
        <v>787</v>
      </c>
      <c r="E141" t="str">
        <f t="shared" si="11"/>
        <v>43996689</v>
      </c>
      <c r="F141" t="s">
        <v>417</v>
      </c>
      <c r="G141" t="s">
        <v>418</v>
      </c>
      <c r="H141">
        <v>787</v>
      </c>
      <c r="I141">
        <v>43996689</v>
      </c>
    </row>
    <row r="142" spans="1:9" x14ac:dyDescent="0.55000000000000004">
      <c r="A142" t="s">
        <v>155</v>
      </c>
      <c r="B142">
        <f t="shared" si="8"/>
        <v>4</v>
      </c>
      <c r="C142">
        <f t="shared" si="9"/>
        <v>7</v>
      </c>
      <c r="D142" t="str">
        <f t="shared" si="10"/>
        <v>797</v>
      </c>
      <c r="E142" t="str">
        <f t="shared" si="11"/>
        <v>1532947970450</v>
      </c>
      <c r="F142" t="s">
        <v>419</v>
      </c>
      <c r="G142" t="s">
        <v>420</v>
      </c>
      <c r="H142">
        <v>797</v>
      </c>
      <c r="I142">
        <v>1532947970450</v>
      </c>
    </row>
    <row r="143" spans="1:9" x14ac:dyDescent="0.55000000000000004">
      <c r="A143" t="s">
        <v>156</v>
      </c>
      <c r="B143" t="e">
        <f t="shared" si="8"/>
        <v>#VALUE!</v>
      </c>
      <c r="C143" t="e">
        <f t="shared" si="9"/>
        <v>#VALUE!</v>
      </c>
      <c r="D143">
        <v>809</v>
      </c>
      <c r="E143" t="s">
        <v>186</v>
      </c>
      <c r="F143">
        <v>809</v>
      </c>
      <c r="G143" t="s">
        <v>186</v>
      </c>
      <c r="H143">
        <v>809</v>
      </c>
      <c r="I143" t="s">
        <v>186</v>
      </c>
    </row>
    <row r="144" spans="1:9" x14ac:dyDescent="0.55000000000000004">
      <c r="A144" t="s">
        <v>157</v>
      </c>
      <c r="B144">
        <f t="shared" si="8"/>
        <v>4</v>
      </c>
      <c r="C144">
        <f t="shared" si="9"/>
        <v>7</v>
      </c>
      <c r="D144" t="str">
        <f t="shared" si="10"/>
        <v>811</v>
      </c>
      <c r="E144" t="str">
        <f t="shared" si="11"/>
        <v>1704158031539601</v>
      </c>
      <c r="F144" t="s">
        <v>421</v>
      </c>
      <c r="G144" t="s">
        <v>422</v>
      </c>
      <c r="H144">
        <v>811</v>
      </c>
      <c r="I144">
        <v>1704158031539600</v>
      </c>
    </row>
    <row r="145" spans="1:9" x14ac:dyDescent="0.55000000000000004">
      <c r="A145" t="s">
        <v>158</v>
      </c>
      <c r="B145" t="e">
        <f t="shared" si="8"/>
        <v>#VALUE!</v>
      </c>
      <c r="C145" t="e">
        <f t="shared" si="9"/>
        <v>#VALUE!</v>
      </c>
      <c r="D145">
        <v>821</v>
      </c>
      <c r="E145" t="s">
        <v>186</v>
      </c>
      <c r="F145">
        <v>821</v>
      </c>
      <c r="G145" t="s">
        <v>186</v>
      </c>
      <c r="H145">
        <v>821</v>
      </c>
      <c r="I145" t="s">
        <v>186</v>
      </c>
    </row>
    <row r="146" spans="1:9" x14ac:dyDescent="0.55000000000000004">
      <c r="A146" t="s">
        <v>159</v>
      </c>
      <c r="B146">
        <f t="shared" si="8"/>
        <v>4</v>
      </c>
      <c r="C146">
        <f t="shared" si="9"/>
        <v>7</v>
      </c>
      <c r="D146" t="str">
        <f t="shared" si="10"/>
        <v>823</v>
      </c>
      <c r="E146" t="str">
        <f t="shared" si="11"/>
        <v>15808576</v>
      </c>
      <c r="F146" t="s">
        <v>423</v>
      </c>
      <c r="G146" t="s">
        <v>424</v>
      </c>
      <c r="H146">
        <v>823</v>
      </c>
      <c r="I146">
        <v>15808576</v>
      </c>
    </row>
    <row r="147" spans="1:9" x14ac:dyDescent="0.55000000000000004">
      <c r="A147" t="s">
        <v>160</v>
      </c>
      <c r="B147">
        <f t="shared" si="8"/>
        <v>4</v>
      </c>
      <c r="C147">
        <f t="shared" si="9"/>
        <v>7</v>
      </c>
      <c r="D147" t="str">
        <f t="shared" si="10"/>
        <v>827</v>
      </c>
      <c r="E147" t="str">
        <f t="shared" si="11"/>
        <v>1089</v>
      </c>
      <c r="F147" t="s">
        <v>425</v>
      </c>
      <c r="G147" t="s">
        <v>426</v>
      </c>
      <c r="H147">
        <v>827</v>
      </c>
      <c r="I147">
        <v>1089</v>
      </c>
    </row>
    <row r="148" spans="1:9" x14ac:dyDescent="0.55000000000000004">
      <c r="A148" t="s">
        <v>161</v>
      </c>
      <c r="B148">
        <f t="shared" si="8"/>
        <v>4</v>
      </c>
      <c r="C148">
        <f t="shared" si="9"/>
        <v>7</v>
      </c>
      <c r="D148" t="str">
        <f t="shared" si="10"/>
        <v>829</v>
      </c>
      <c r="E148" t="str">
        <f t="shared" si="11"/>
        <v>578812682450</v>
      </c>
      <c r="F148" t="s">
        <v>427</v>
      </c>
      <c r="G148" t="s">
        <v>428</v>
      </c>
      <c r="H148">
        <v>829</v>
      </c>
      <c r="I148">
        <v>578812682450</v>
      </c>
    </row>
    <row r="149" spans="1:9" x14ac:dyDescent="0.55000000000000004">
      <c r="A149" t="s">
        <v>162</v>
      </c>
      <c r="B149">
        <f t="shared" si="8"/>
        <v>4</v>
      </c>
      <c r="C149">
        <f t="shared" si="9"/>
        <v>7</v>
      </c>
      <c r="D149" t="str">
        <f t="shared" si="10"/>
        <v>839</v>
      </c>
      <c r="E149" t="str">
        <f t="shared" si="11"/>
        <v>1</v>
      </c>
      <c r="F149" t="s">
        <v>429</v>
      </c>
      <c r="G149" t="s">
        <v>188</v>
      </c>
      <c r="H149">
        <v>839</v>
      </c>
      <c r="I149">
        <v>1</v>
      </c>
    </row>
    <row r="150" spans="1:9" x14ac:dyDescent="0.55000000000000004">
      <c r="A150" t="s">
        <v>163</v>
      </c>
      <c r="B150" t="e">
        <f t="shared" si="8"/>
        <v>#VALUE!</v>
      </c>
      <c r="C150" t="e">
        <f t="shared" si="9"/>
        <v>#VALUE!</v>
      </c>
      <c r="D150">
        <v>853</v>
      </c>
      <c r="E150" t="s">
        <v>186</v>
      </c>
      <c r="F150">
        <v>853</v>
      </c>
      <c r="G150" t="s">
        <v>186</v>
      </c>
      <c r="H150">
        <v>853</v>
      </c>
      <c r="I150" t="s">
        <v>186</v>
      </c>
    </row>
    <row r="151" spans="1:9" x14ac:dyDescent="0.55000000000000004">
      <c r="A151" t="s">
        <v>164</v>
      </c>
      <c r="B151">
        <f t="shared" si="8"/>
        <v>4</v>
      </c>
      <c r="C151">
        <f t="shared" si="9"/>
        <v>7</v>
      </c>
      <c r="D151" t="str">
        <f t="shared" si="10"/>
        <v>857</v>
      </c>
      <c r="E151" t="str">
        <f t="shared" si="11"/>
        <v>17139600</v>
      </c>
      <c r="F151" t="s">
        <v>430</v>
      </c>
      <c r="G151" t="s">
        <v>431</v>
      </c>
      <c r="H151">
        <v>857</v>
      </c>
      <c r="I151">
        <v>17139600</v>
      </c>
    </row>
    <row r="152" spans="1:9" x14ac:dyDescent="0.55000000000000004">
      <c r="A152" t="s">
        <v>165</v>
      </c>
      <c r="B152">
        <f t="shared" si="8"/>
        <v>4</v>
      </c>
      <c r="C152">
        <f t="shared" si="9"/>
        <v>7</v>
      </c>
      <c r="D152" t="str">
        <f t="shared" si="10"/>
        <v>859</v>
      </c>
      <c r="E152" t="str">
        <f t="shared" si="11"/>
        <v>44078711072400</v>
      </c>
      <c r="F152" t="s">
        <v>432</v>
      </c>
      <c r="G152" t="s">
        <v>433</v>
      </c>
      <c r="H152">
        <v>859</v>
      </c>
      <c r="I152">
        <v>44078711072400</v>
      </c>
    </row>
    <row r="153" spans="1:9" x14ac:dyDescent="0.55000000000000004">
      <c r="A153" t="s">
        <v>166</v>
      </c>
      <c r="B153">
        <f t="shared" si="8"/>
        <v>4</v>
      </c>
      <c r="C153">
        <f t="shared" si="9"/>
        <v>7</v>
      </c>
      <c r="D153" t="str">
        <f t="shared" si="10"/>
        <v>863</v>
      </c>
      <c r="E153" t="str">
        <f t="shared" si="11"/>
        <v>21464689</v>
      </c>
      <c r="F153" t="s">
        <v>434</v>
      </c>
      <c r="G153" t="s">
        <v>435</v>
      </c>
      <c r="H153">
        <v>863</v>
      </c>
      <c r="I153">
        <v>21464689</v>
      </c>
    </row>
    <row r="154" spans="1:9" x14ac:dyDescent="0.55000000000000004">
      <c r="A154" t="s">
        <v>167</v>
      </c>
      <c r="B154">
        <f t="shared" si="8"/>
        <v>4</v>
      </c>
      <c r="C154">
        <f t="shared" si="9"/>
        <v>7</v>
      </c>
      <c r="D154" t="str">
        <f t="shared" si="10"/>
        <v>877</v>
      </c>
      <c r="E154" t="str">
        <f t="shared" si="11"/>
        <v>132812402</v>
      </c>
      <c r="F154" t="s">
        <v>436</v>
      </c>
      <c r="G154" t="s">
        <v>437</v>
      </c>
      <c r="H154">
        <v>877</v>
      </c>
      <c r="I154">
        <v>132812402</v>
      </c>
    </row>
    <row r="155" spans="1:9" x14ac:dyDescent="0.55000000000000004">
      <c r="A155" t="s">
        <v>168</v>
      </c>
      <c r="B155">
        <f t="shared" si="8"/>
        <v>4</v>
      </c>
      <c r="C155">
        <f t="shared" si="9"/>
        <v>7</v>
      </c>
      <c r="D155" t="str">
        <f t="shared" si="10"/>
        <v>881</v>
      </c>
      <c r="E155" t="str">
        <f t="shared" si="11"/>
        <v>2</v>
      </c>
      <c r="F155" t="s">
        <v>438</v>
      </c>
      <c r="G155" t="s">
        <v>187</v>
      </c>
      <c r="H155">
        <v>881</v>
      </c>
      <c r="I155">
        <v>2</v>
      </c>
    </row>
    <row r="156" spans="1:9" x14ac:dyDescent="0.55000000000000004">
      <c r="A156" t="s">
        <v>169</v>
      </c>
      <c r="B156">
        <f t="shared" si="8"/>
        <v>4</v>
      </c>
      <c r="C156">
        <f t="shared" si="9"/>
        <v>7</v>
      </c>
      <c r="D156" t="str">
        <f t="shared" si="10"/>
        <v>883</v>
      </c>
      <c r="E156" t="str">
        <f t="shared" si="11"/>
        <v>7056</v>
      </c>
      <c r="F156" t="s">
        <v>439</v>
      </c>
      <c r="G156" t="s">
        <v>440</v>
      </c>
      <c r="H156">
        <v>883</v>
      </c>
      <c r="I156">
        <v>7056</v>
      </c>
    </row>
    <row r="157" spans="1:9" x14ac:dyDescent="0.55000000000000004">
      <c r="A157" t="s">
        <v>170</v>
      </c>
      <c r="B157">
        <f t="shared" si="8"/>
        <v>4</v>
      </c>
      <c r="C157">
        <f t="shared" si="9"/>
        <v>7</v>
      </c>
      <c r="D157" t="str">
        <f t="shared" si="10"/>
        <v>887</v>
      </c>
      <c r="E157" t="str">
        <f t="shared" si="11"/>
        <v>529</v>
      </c>
      <c r="F157" t="s">
        <v>441</v>
      </c>
      <c r="G157" t="s">
        <v>277</v>
      </c>
      <c r="H157">
        <v>887</v>
      </c>
      <c r="I157">
        <v>529</v>
      </c>
    </row>
    <row r="158" spans="1:9" x14ac:dyDescent="0.55000000000000004">
      <c r="A158" t="s">
        <v>171</v>
      </c>
      <c r="B158" t="e">
        <f t="shared" si="8"/>
        <v>#VALUE!</v>
      </c>
      <c r="C158" t="e">
        <f t="shared" si="9"/>
        <v>#VALUE!</v>
      </c>
      <c r="D158">
        <v>907</v>
      </c>
      <c r="E158" t="s">
        <v>186</v>
      </c>
      <c r="F158">
        <v>907</v>
      </c>
      <c r="G158" t="s">
        <v>186</v>
      </c>
      <c r="H158">
        <v>907</v>
      </c>
      <c r="I158" t="s">
        <v>186</v>
      </c>
    </row>
    <row r="159" spans="1:9" x14ac:dyDescent="0.55000000000000004">
      <c r="A159" t="s">
        <v>172</v>
      </c>
      <c r="B159">
        <f t="shared" si="8"/>
        <v>4</v>
      </c>
      <c r="C159">
        <f t="shared" si="9"/>
        <v>7</v>
      </c>
      <c r="D159" t="str">
        <f t="shared" si="10"/>
        <v>911</v>
      </c>
      <c r="E159" t="str">
        <f t="shared" si="11"/>
        <v>408158710129</v>
      </c>
      <c r="F159" t="s">
        <v>442</v>
      </c>
      <c r="G159" t="s">
        <v>443</v>
      </c>
      <c r="H159">
        <v>911</v>
      </c>
      <c r="I159">
        <v>408158710129</v>
      </c>
    </row>
    <row r="160" spans="1:9" x14ac:dyDescent="0.55000000000000004">
      <c r="A160" t="s">
        <v>173</v>
      </c>
      <c r="B160" t="e">
        <f t="shared" si="8"/>
        <v>#VALUE!</v>
      </c>
      <c r="C160" t="e">
        <f t="shared" si="9"/>
        <v>#VALUE!</v>
      </c>
      <c r="D160">
        <v>919</v>
      </c>
      <c r="E160" t="s">
        <v>186</v>
      </c>
      <c r="F160">
        <v>919</v>
      </c>
      <c r="G160" t="s">
        <v>186</v>
      </c>
      <c r="H160">
        <v>919</v>
      </c>
      <c r="I160" t="s">
        <v>186</v>
      </c>
    </row>
    <row r="161" spans="1:9" x14ac:dyDescent="0.55000000000000004">
      <c r="A161" t="s">
        <v>174</v>
      </c>
      <c r="B161">
        <f t="shared" si="8"/>
        <v>4</v>
      </c>
      <c r="C161">
        <f t="shared" si="9"/>
        <v>7</v>
      </c>
      <c r="D161" t="str">
        <f t="shared" si="10"/>
        <v>929</v>
      </c>
      <c r="E161" t="str">
        <f t="shared" si="11"/>
        <v>1254693997155600</v>
      </c>
      <c r="F161" t="s">
        <v>444</v>
      </c>
      <c r="G161" t="s">
        <v>445</v>
      </c>
      <c r="H161">
        <v>929</v>
      </c>
      <c r="I161">
        <v>1254693997155600</v>
      </c>
    </row>
    <row r="162" spans="1:9" x14ac:dyDescent="0.55000000000000004">
      <c r="A162" t="s">
        <v>175</v>
      </c>
      <c r="B162">
        <f t="shared" si="8"/>
        <v>4</v>
      </c>
      <c r="C162">
        <f t="shared" si="9"/>
        <v>7</v>
      </c>
      <c r="D162" t="str">
        <f t="shared" si="10"/>
        <v>937</v>
      </c>
      <c r="E162" t="str">
        <f t="shared" si="11"/>
        <v>982572597504</v>
      </c>
      <c r="F162" t="s">
        <v>446</v>
      </c>
      <c r="G162" t="s">
        <v>447</v>
      </c>
      <c r="H162">
        <v>937</v>
      </c>
      <c r="I162">
        <v>982572597504</v>
      </c>
    </row>
    <row r="163" spans="1:9" x14ac:dyDescent="0.55000000000000004">
      <c r="A163" t="s">
        <v>176</v>
      </c>
      <c r="B163">
        <f t="shared" si="8"/>
        <v>4</v>
      </c>
      <c r="C163">
        <f t="shared" si="9"/>
        <v>7</v>
      </c>
      <c r="D163" t="str">
        <f t="shared" si="10"/>
        <v>941</v>
      </c>
      <c r="E163" t="str">
        <f t="shared" si="11"/>
        <v>1889294234256</v>
      </c>
      <c r="F163" t="s">
        <v>448</v>
      </c>
      <c r="G163" t="s">
        <v>449</v>
      </c>
      <c r="H163">
        <v>941</v>
      </c>
      <c r="I163">
        <v>1889294234256</v>
      </c>
    </row>
    <row r="164" spans="1:9" x14ac:dyDescent="0.55000000000000004">
      <c r="A164" t="s">
        <v>177</v>
      </c>
      <c r="B164">
        <f t="shared" si="8"/>
        <v>4</v>
      </c>
      <c r="C164">
        <f t="shared" si="9"/>
        <v>7</v>
      </c>
      <c r="D164" t="str">
        <f t="shared" si="10"/>
        <v>947</v>
      </c>
      <c r="E164" t="str">
        <f t="shared" si="11"/>
        <v>14265729</v>
      </c>
      <c r="F164" t="s">
        <v>450</v>
      </c>
      <c r="G164" t="s">
        <v>451</v>
      </c>
      <c r="H164">
        <v>947</v>
      </c>
      <c r="I164">
        <v>14265729</v>
      </c>
    </row>
    <row r="165" spans="1:9" x14ac:dyDescent="0.55000000000000004">
      <c r="A165" t="s">
        <v>178</v>
      </c>
      <c r="B165">
        <f t="shared" si="8"/>
        <v>4</v>
      </c>
      <c r="C165">
        <f t="shared" si="9"/>
        <v>7</v>
      </c>
      <c r="D165" t="str">
        <f t="shared" si="10"/>
        <v>953</v>
      </c>
      <c r="E165" t="str">
        <f t="shared" si="11"/>
        <v>15834765838048658</v>
      </c>
      <c r="F165" t="s">
        <v>452</v>
      </c>
      <c r="G165" t="s">
        <v>453</v>
      </c>
      <c r="H165">
        <v>953</v>
      </c>
      <c r="I165">
        <v>1.58347658380486E+16</v>
      </c>
    </row>
    <row r="166" spans="1:9" x14ac:dyDescent="0.55000000000000004">
      <c r="A166" t="s">
        <v>179</v>
      </c>
      <c r="B166">
        <f t="shared" si="8"/>
        <v>4</v>
      </c>
      <c r="C166">
        <f t="shared" si="9"/>
        <v>7</v>
      </c>
      <c r="D166" t="str">
        <f t="shared" si="10"/>
        <v>967</v>
      </c>
      <c r="E166" t="str">
        <f t="shared" si="11"/>
        <v>7744</v>
      </c>
      <c r="F166" t="s">
        <v>454</v>
      </c>
      <c r="G166" t="s">
        <v>455</v>
      </c>
      <c r="H166">
        <v>967</v>
      </c>
      <c r="I166">
        <v>7744</v>
      </c>
    </row>
    <row r="167" spans="1:9" x14ac:dyDescent="0.55000000000000004">
      <c r="A167" t="s">
        <v>180</v>
      </c>
      <c r="B167">
        <f t="shared" si="8"/>
        <v>4</v>
      </c>
      <c r="C167">
        <f t="shared" si="9"/>
        <v>7</v>
      </c>
      <c r="D167" t="str">
        <f t="shared" si="10"/>
        <v>971</v>
      </c>
      <c r="E167" t="str">
        <f t="shared" si="11"/>
        <v>12852530161</v>
      </c>
      <c r="F167" t="s">
        <v>456</v>
      </c>
      <c r="G167" t="s">
        <v>457</v>
      </c>
      <c r="H167">
        <v>971</v>
      </c>
      <c r="I167">
        <v>12852530161</v>
      </c>
    </row>
    <row r="168" spans="1:9" x14ac:dyDescent="0.55000000000000004">
      <c r="A168" t="s">
        <v>181</v>
      </c>
      <c r="B168">
        <f t="shared" si="8"/>
        <v>4</v>
      </c>
      <c r="C168">
        <f t="shared" si="9"/>
        <v>7</v>
      </c>
      <c r="D168" t="str">
        <f t="shared" si="10"/>
        <v>977</v>
      </c>
      <c r="E168" t="str">
        <f t="shared" si="11"/>
        <v>4802</v>
      </c>
      <c r="F168" t="s">
        <v>458</v>
      </c>
      <c r="G168" t="s">
        <v>459</v>
      </c>
      <c r="H168">
        <v>977</v>
      </c>
      <c r="I168">
        <v>4802</v>
      </c>
    </row>
    <row r="169" spans="1:9" x14ac:dyDescent="0.55000000000000004">
      <c r="A169" t="s">
        <v>182</v>
      </c>
      <c r="B169">
        <f t="shared" si="8"/>
        <v>4</v>
      </c>
      <c r="C169">
        <f t="shared" si="9"/>
        <v>7</v>
      </c>
      <c r="D169" t="str">
        <f t="shared" si="10"/>
        <v>983</v>
      </c>
      <c r="E169" t="str">
        <f t="shared" si="11"/>
        <v>289</v>
      </c>
      <c r="F169" t="s">
        <v>460</v>
      </c>
      <c r="G169" t="s">
        <v>461</v>
      </c>
      <c r="H169">
        <v>983</v>
      </c>
      <c r="I169">
        <v>289</v>
      </c>
    </row>
    <row r="170" spans="1:9" x14ac:dyDescent="0.55000000000000004">
      <c r="A170" t="s">
        <v>183</v>
      </c>
      <c r="B170" t="e">
        <f t="shared" si="8"/>
        <v>#VALUE!</v>
      </c>
      <c r="C170" t="e">
        <f t="shared" si="9"/>
        <v>#VALUE!</v>
      </c>
      <c r="D170">
        <v>991</v>
      </c>
      <c r="E170" t="s">
        <v>186</v>
      </c>
      <c r="F170">
        <v>991</v>
      </c>
      <c r="G170" t="s">
        <v>186</v>
      </c>
      <c r="H170">
        <v>991</v>
      </c>
      <c r="I170" t="s">
        <v>186</v>
      </c>
    </row>
    <row r="171" spans="1:9" x14ac:dyDescent="0.55000000000000004">
      <c r="A171" t="s">
        <v>184</v>
      </c>
      <c r="B171">
        <f t="shared" si="8"/>
        <v>4</v>
      </c>
      <c r="C171">
        <f t="shared" si="9"/>
        <v>7</v>
      </c>
      <c r="D171" t="str">
        <f t="shared" si="10"/>
        <v>997</v>
      </c>
      <c r="E171" t="str">
        <f t="shared" si="11"/>
        <v>14461442</v>
      </c>
      <c r="F171" t="s">
        <v>462</v>
      </c>
      <c r="G171" t="s">
        <v>463</v>
      </c>
      <c r="H171">
        <v>997</v>
      </c>
      <c r="I171">
        <v>14461442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TemplafyTemplateConfiguration><![CDATA[{"transformationConfigurations":[],"templateName":"Blank - Aptos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97B404D8-EB1E-497C-9EC0-E5B4C835FFB0}">
  <ds:schemaRefs/>
</ds:datastoreItem>
</file>

<file path=customXml/itemProps2.xml><?xml version="1.0" encoding="utf-8"?>
<ds:datastoreItem xmlns:ds="http://schemas.openxmlformats.org/officeDocument/2006/customXml" ds:itemID="{D68E5A6F-3D9E-4275-AC19-61567B2F9BE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Sollutions to D</vt:lpstr>
      <vt:lpstr>Sollutions to D incorrect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Ingemarsson</dc:creator>
  <cp:lastModifiedBy>Rasmus Ingemarsson</cp:lastModifiedBy>
  <dcterms:created xsi:type="dcterms:W3CDTF">2026-02-20T08:30:28Z</dcterms:created>
  <dcterms:modified xsi:type="dcterms:W3CDTF">2026-03-24T08:35:48Z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tietoevry</vt:lpwstr>
  </property>
  <property fmtid="{D5CDD505-2E9C-101B-9397-08002B2CF9AE}" pid="3" name="TemplafyTemplateId">
    <vt:lpwstr>1370459459990324460</vt:lpwstr>
  </property>
  <property fmtid="{D5CDD505-2E9C-101B-9397-08002B2CF9AE}" pid="4" name="TemplafyUserProfileId">
    <vt:lpwstr>1392573980470411869</vt:lpwstr>
  </property>
  <property fmtid="{D5CDD505-2E9C-101B-9397-08002B2CF9AE}" pid="5" name="TemplafyFromBlank">
    <vt:bool>true</vt:bool>
  </property>
  <property fmtid="{D5CDD505-2E9C-101B-9397-08002B2CF9AE}" pid="6" name="MSIP_Label_3b623b29-abd1-4de3-a20c-27566d79b7c7_Enabled">
    <vt:lpwstr>true</vt:lpwstr>
  </property>
  <property fmtid="{D5CDD505-2E9C-101B-9397-08002B2CF9AE}" pid="7" name="MSIP_Label_3b623b29-abd1-4de3-a20c-27566d79b7c7_SetDate">
    <vt:lpwstr>2026-03-14T20:32:53Z</vt:lpwstr>
  </property>
  <property fmtid="{D5CDD505-2E9C-101B-9397-08002B2CF9AE}" pid="8" name="MSIP_Label_3b623b29-abd1-4de3-a20c-27566d79b7c7_Method">
    <vt:lpwstr>Standard</vt:lpwstr>
  </property>
  <property fmtid="{D5CDD505-2E9C-101B-9397-08002B2CF9AE}" pid="9" name="MSIP_Label_3b623b29-abd1-4de3-a20c-27566d79b7c7_Name">
    <vt:lpwstr>3b623b29-abd1-4de3-a20c-27566d79b7c7</vt:lpwstr>
  </property>
  <property fmtid="{D5CDD505-2E9C-101B-9397-08002B2CF9AE}" pid="10" name="MSIP_Label_3b623b29-abd1-4de3-a20c-27566d79b7c7_SiteId">
    <vt:lpwstr>cbede638-a3d9-459f-8f4e-24ced73b4e5e</vt:lpwstr>
  </property>
  <property fmtid="{D5CDD505-2E9C-101B-9397-08002B2CF9AE}" pid="11" name="MSIP_Label_3b623b29-abd1-4de3-a20c-27566d79b7c7_ActionId">
    <vt:lpwstr>9fb9ef69-5a30-463b-b2d3-1a6292c5b3e3</vt:lpwstr>
  </property>
  <property fmtid="{D5CDD505-2E9C-101B-9397-08002B2CF9AE}" pid="12" name="MSIP_Label_3b623b29-abd1-4de3-a20c-27566d79b7c7_ContentBits">
    <vt:lpwstr>0</vt:lpwstr>
  </property>
  <property fmtid="{D5CDD505-2E9C-101B-9397-08002B2CF9AE}" pid="13" name="MSIP_Label_3b623b29-abd1-4de3-a20c-27566d79b7c7_Tag">
    <vt:lpwstr>10, 3, 0, 1</vt:lpwstr>
  </property>
</Properties>
</file>